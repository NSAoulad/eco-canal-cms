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OL" sheetId="1" r:id="rId1"/>
    <sheet name="AUS" sheetId="2" r:id="rId2"/>
    <sheet name="DEN" sheetId="3" r:id="rId3"/>
    <sheet name="SWE" sheetId="4" r:id="rId4"/>
    <sheet name="IRE" sheetId="5" r:id="rId5"/>
    <sheet name="NOR" sheetId="6" r:id="rId6"/>
    <sheet name="UK" sheetId="7" r:id="rId7"/>
    <sheet name="POR" sheetId="8" r:id="rId8"/>
    <sheet name="ES" sheetId="9" r:id="rId9"/>
    <sheet name="IT" sheetId="10" r:id="rId10"/>
    <sheet name="BE" sheetId="11" r:id="rId11"/>
    <sheet name="DE" sheetId="12" r:id="rId12"/>
    <sheet name="FR" sheetId="13" r:id="rId13"/>
    <sheet name="NL" sheetId="14" r:id="rId1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3">
    <numFmt numFmtId="56" formatCode="&quot;上午/下午 &quot;hh&quot;時&quot;mm&quot;分&quot;ss&quot;秒 &quot;"/>
    <numFmt numFmtId="164" formatCode="dd/mm/yyyy"/>
    <numFmt numFmtId="165" formatCode="d/m/yyyy"/>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theme" Target="theme/theme1.xml"/><Relationship Id="rId16" Type="http://schemas.openxmlformats.org/officeDocument/2006/relationships/styles" Target="styles.xml"/><Relationship Id="rId1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biurokarier.edu.pl/" TargetMode="External"/><Relationship Id="rId2" Type="http://schemas.openxmlformats.org/officeDocument/2006/relationships/hyperlink" Target="https://bk.pw.edu.pl/dodaj-oferte-pracy" TargetMode="External"/><Relationship Id="rId3" Type="http://schemas.openxmlformats.org/officeDocument/2006/relationships/hyperlink" Target="https://kariera.sgh.waw.pl/" TargetMode="External"/><Relationship Id="rId4" Type="http://schemas.openxmlformats.org/officeDocument/2006/relationships/hyperlink" Target="https://praca.ck.agh.edu.pl/en" TargetMode="External"/><Relationship Id="rId5" Type="http://schemas.openxmlformats.org/officeDocument/2006/relationships/hyperlink" Target="https://uewroc.jobteaser.com/en/company_account/sign_in" TargetMode="External"/><Relationship Id="rId6" Type="http://schemas.openxmlformats.org/officeDocument/2006/relationships/hyperlink" Target="https://politechnika-gdanska.jobteaser.com/pl/sp_companies/users/new?action=new&amp;amp;controller=sp_companies%2Fusers&amp;amp;i18n_locale=en" TargetMode="External"/><Relationship Id="rId7" Type="http://schemas.openxmlformats.org/officeDocument/2006/relationships/hyperlink" Target="https://biurokarier.edu.pl/index.php?module=main.Main&amp;amp;view=default&amp;amp;lang=en" TargetMode="External"/><Relationship Id="rId8" Type="http://schemas.openxmlformats.org/officeDocument/2006/relationships/hyperlink" Target="http://www.ue.katowice.pl/biznes/publikacja-ofert-rekrutacyjnych/zglos-oferte-rekrutacyjna.html" TargetMode="External"/><Relationship Id="rId9" Type="http://schemas.openxmlformats.org/officeDocument/2006/relationships/hyperlink" Target="https://kariery.uek.krakow.pl/en/employer-zone/jobteaser-scc/" TargetMode="External"/><Relationship Id="rId10" Type="http://schemas.openxmlformats.org/officeDocument/2006/relationships/hyperlink" Target="https://abk-usz.jobteaser.com/en/recruiter-solutions"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su.jobteaser.com/de/recruiter-solutions" TargetMode="External"/><Relationship Id="rId2" Type="http://schemas.openxmlformats.org/officeDocument/2006/relationships/hyperlink" Target="https://su.jobteaser.com/en/recruiter-solutions" TargetMode="External"/><Relationship Id="rId3" Type="http://schemas.openxmlformats.org/officeDocument/2006/relationships/hyperlink" Target="https://www.fh-salzburg.ac.at/en/services/career-center/service-for-companies/job-and-career-platform"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cbs.dk/en/about-cbs/organisation/companies" TargetMode="External"/><Relationship Id="rId2" Type="http://schemas.openxmlformats.org/officeDocument/2006/relationships/hyperlink" Target="https://jobbank.aau.dk/for-employers" TargetMode="External"/><Relationship Id="rId3" Type="http://schemas.openxmlformats.org/officeDocument/2006/relationships/hyperlink" Target="https://dtu.jobteaser.com/en/company_account/sign_in" TargetMode="External"/><Relationship Id="rId4" Type="http://schemas.openxmlformats.org/officeDocument/2006/relationships/hyperlink" Target="https://itu.jobteaser.com/en/recruiter_account/sign_in" TargetMode="External"/><Relationship Id="rId5" Type="http://schemas.openxmlformats.org/officeDocument/2006/relationships/hyperlink" Target="https://itu.jobteaser.com/en/recruiter_account/sign_in" TargetMode="External"/><Relationship Id="rId6" Type="http://schemas.openxmlformats.org/officeDocument/2006/relationships/hyperlink" Target="https://app.candeno.com/match/recruitment/jobs" TargetMode="External"/><Relationship Id="rId7" Type="http://schemas.openxmlformats.org/officeDocument/2006/relationships/hyperlink" Target="https://ek.jobteaser.com/en/company_account/sign_in"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su.jobteaser.com/en/recruiter-solutions" TargetMode="External"/><Relationship Id="rId2" Type="http://schemas.openxmlformats.org/officeDocument/2006/relationships/hyperlink" Target="https://lucareerhub.jobteaser.com/sv/recruiter_account/sign_in" TargetMode="External"/><Relationship Id="rId3" Type="http://schemas.openxmlformats.org/officeDocument/2006/relationships/hyperlink" Target="https://uucareergate.jobteaser.com/en/recruiter-solutions" TargetMode="External"/><Relationship Id="rId4" Type="http://schemas.openxmlformats.org/officeDocument/2006/relationships/hyperlink" Target="https://mau.jobteaser.com/en/recruiter-solutions" TargetMode="External"/><Relationship Id="rId5" Type="http://schemas.openxmlformats.org/officeDocument/2006/relationships/hyperlink" Target="https://www.oru.se/samverkan/samverka-med-studenter/platsbank-for-studenter/registrera-mig-som-annonsor/" TargetMode="External"/><Relationship Id="rId6" Type="http://schemas.openxmlformats.org/officeDocument/2006/relationships/hyperlink" Target="http://ju.se/advertise" TargetMode="External"/><Relationship Id="rId7" Type="http://schemas.openxmlformats.org/officeDocument/2006/relationships/hyperlink" Target="https://www.hh.se/samverkan/samverka-med-oss/samverka-med-studenter/annonsera-om-jobb-och-uppdrag-for-studenter.html" TargetMode="External"/><Relationship Id="rId8" Type="http://schemas.openxmlformats.org/officeDocument/2006/relationships/hyperlink" Target="https://shkarriar.jobteaser.com/en/recruiter-solutions"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ucd-ccm.careercentre.me/Account/Login.aspx" TargetMode="External"/><Relationship Id="rId2" Type="http://schemas.openxmlformats.org/officeDocument/2006/relationships/hyperlink" Target="https://careersconnect.universityofgalway.ie/unauth/employer/login" TargetMode="External"/><Relationship Id="rId3" Type="http://schemas.openxmlformats.org/officeDocument/2006/relationships/hyperlink" Target="https://www.tudublin.ie/careersconnect"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app.joinhandshake.com/employer_registrations/new" TargetMode="External"/><Relationship Id="rId2" Type="http://schemas.openxmlformats.org/officeDocument/2006/relationships/hyperlink" Target="https://careers.lse.ac.uk/employer/home.html?service=Careers+Service" TargetMode="External"/><Relationship Id="rId3" Type="http://schemas.openxmlformats.org/officeDocument/2006/relationships/hyperlink" Target="https://employers.hub.ed.ac.uk/content/advertise+with+us" TargetMode="External"/><Relationship Id="rId4" Type="http://schemas.openxmlformats.org/officeDocument/2006/relationships/hyperlink" Target="https://brookes.jobteaser.com/en/recruiter-solutions" TargetMode="External"/><Relationship Id="rId5" Type="http://schemas.openxmlformats.org/officeDocument/2006/relationships/hyperlink" Target="https://regents-csm.symplicity.com/" TargetMode="External"/><Relationship Id="rId6" Type="http://schemas.openxmlformats.org/officeDocument/2006/relationships/hyperlink" Target="https://employers.careers.chester.ac.uk/content/vacancy+advertising" TargetMode="External"/><Relationship Id="rId7" Type="http://schemas.openxmlformats.org/officeDocument/2006/relationships/hyperlink" Target="https://mycareer.leeds.ac.uk/unauthorisedEmployer/register.html?execution=e1s1" TargetMode="External"/><Relationship Id="rId8" Type="http://schemas.openxmlformats.org/officeDocument/2006/relationships/hyperlink" Target="https://www.leeds.ac.uk/working-with-business/doc/university-leeds-vacancy-advertising-policy" TargetMode="External"/><Relationship Id="rId9" Type="http://schemas.openxmlformats.org/officeDocument/2006/relationships/hyperlink" Target="https://www.york.ac.uk/business/students/advertise-opportunities/" TargetMode="External"/><Relationship Id="rId10" Type="http://schemas.openxmlformats.org/officeDocument/2006/relationships/hyperlink" Target="https://employers.studentlife.nottingham.ac.uk/" TargetMode="External"/><Relationship Id="rId11" Type="http://schemas.openxmlformats.org/officeDocument/2006/relationships/hyperlink" Target="https://www.southampton.ac.uk/careers/employers/advertise-your-vacancies.page?" TargetMode="External"/><Relationship Id="rId12" Type="http://schemas.openxmlformats.org/officeDocument/2006/relationships/hyperlink" Target="https://www.gla.ac.uk/myglasgow/careers/employers/advertise-opportunities/" TargetMode="External"/><Relationship Id="rId13" Type="http://schemas.openxmlformats.org/officeDocument/2006/relationships/hyperlink" Target="https://mycareer.plymouth.ac.uk/unauth" TargetMode="External"/><Relationship Id="rId14" Type="http://schemas.openxmlformats.org/officeDocument/2006/relationships/hyperlink" Target="https://www.birmingham.ac.uk/collaborate/employers/vacancies" TargetMode="External"/><Relationship Id="rId15" Type="http://schemas.openxmlformats.org/officeDocument/2006/relationships/hyperlink" Target="https://cardiff.targetconnect.net/unauth/employer/login" TargetMode="External"/><Relationship Id="rId16" Type="http://schemas.openxmlformats.org/officeDocument/2006/relationships/hyperlink" Target="https://mail.google.com/mail/u/0/"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iqs.tfaforms.net/4877384" TargetMode="External"/><Relationship Id="rId2" Type="http://schemas.openxmlformats.org/officeDocument/2006/relationships/hyperlink" Target="mailto:p.internacionales@ugr.es"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apps.unive.it/tirocini-en/azienda/login" TargetMode="External"/><Relationship Id="rId2" Type="http://schemas.openxmlformats.org/officeDocument/2006/relationships/hyperlink" Target="https://unibz.almalaurea.it/en/aziende/ricerca/" TargetMode="External"/><Relationship Id="rId3" Type="http://schemas.openxmlformats.org/officeDocument/2006/relationships/hyperlink" Target="https://iulm.almalaurea.it/ent/login.aspx?lang=en" TargetMode="External"/><Relationship Id="rId4" Type="http://schemas.openxmlformats.org/officeDocument/2006/relationships/hyperlink" Target="https://forms.cloud.microsoft/Pages/ResponsePage.aspx?id=89ENPlAOXUeY4w5VzKNISVZB_uYFU5pIl_yHP4XKzNZUMU5MS1JSVlNKRDNaU0M5SllCNTVIOUhYNCQlQCN0PWcu"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ulb.jobteaser.com/fr/recruiter-solutions" TargetMode="External"/><Relationship Id="rId2" Type="http://schemas.openxmlformats.org/officeDocument/2006/relationships/hyperlink" Target="http://lsm.jobteaser.com/en/recruiter_account/job_offers" TargetMode="External"/><Relationship Id="rId3" Type="http://schemas.openxmlformats.org/officeDocument/2006/relationships/hyperlink" Target="https://uliege.jobteaser.com/fr/recruiter_account/sign_in" TargetMode="External"/><Relationship Id="rId4" Type="http://schemas.openxmlformats.org/officeDocument/2006/relationships/hyperlink" Target="mailto:contact@solvaycampusrecruitment.be" TargetMode="External"/><Relationship Id="rId5" Type="http://schemas.openxmlformats.org/officeDocument/2006/relationships/hyperlink" Target="https://vlerick.jobteaser.com/en/recruiter_account/sign_in" TargetMode="External"/><Relationship Id="rId6" Type="http://schemas.openxmlformats.org/officeDocument/2006/relationships/hyperlink" Target="https://www.ucll.be/nl/registration-internship-company-management"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employer.thecareeros.com/login" TargetMode="External"/><Relationship Id="rId2" Type="http://schemas.openxmlformats.org/officeDocument/2006/relationships/hyperlink" Target="https://gopraktikum.hwr-berlin.de/en"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s://www.escpalumni.org/en/espace-emploi/inscription" TargetMode="External"/><Relationship Id="rId2" Type="http://schemas.openxmlformats.org/officeDocument/2006/relationships/hyperlink" Target="https://dauphine.jobteaser.com/fr/recruiter_account/job_offers" TargetMode="External"/><Relationship Id="rId3" Type="http://schemas.openxmlformats.org/officeDocument/2006/relationships/hyperlink" Target="https://www.skema.edu/en/find-your-future-talents?utm_source=microsoft&amp;amp;utm_medium=paid&amp;amp;utm_campaign=Marque" TargetMode="External"/><Relationship Id="rId4" Type="http://schemas.openxmlformats.org/officeDocument/2006/relationships/hyperlink" Target="https://entreprise.kedge.edu/recrutez-nos-talents/deposer-une-offre" TargetMode="External"/><Relationship Id="rId5" Type="http://schemas.openxmlformats.org/officeDocument/2006/relationships/hyperlink" Target="https://carrieres.sciencespo.fr/index.php/en/candidatOffres" TargetMode="External"/><Relationship Id="rId6" Type="http://schemas.openxmlformats.org/officeDocument/2006/relationships/hyperlink" Target="https://univ-lyon2.jobteaser.com/fr/recruiter_account/sign_in?back_to_after_login=%2Ffr%2Frecruiter_account%2Fjob_offers" TargetMode="External"/><Relationship Id="rId7" Type="http://schemas.openxmlformats.org/officeDocument/2006/relationships/hyperlink" Target="https://em-lyon.jobteaser.com/en/recruiter-solutions" TargetMode="External"/><Relationship Id="rId8" Type="http://schemas.openxmlformats.org/officeDocument/2006/relationships/hyperlink" Target="https://helpcenter.jobteaser.com/hc/fr/articles/360001437077" TargetMode="External"/><Relationship Id="rId9" Type="http://schemas.openxmlformats.org/officeDocument/2006/relationships/hyperlink" Target="https://ieseg.jobteaser.com/fr/recruiter-solutions" TargetMode="External"/><Relationship Id="rId10" Type="http://schemas.openxmlformats.org/officeDocument/2006/relationships/hyperlink" Target="https://excelia.jobteaser.com/en/backend/job-offers?tab=pending"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https://www.uva.nl/en/about-the-uva/collaborate-with-the-uva/employ-uva-talent/post-a-vacancy" TargetMode="External"/><Relationship Id="rId2" Type="http://schemas.openxmlformats.org/officeDocument/2006/relationships/hyperlink" Target="https://vu-sbe.jobteaser.com/en/recruiter-solutions" TargetMode="External"/><Relationship Id="rId3" Type="http://schemas.openxmlformats.org/officeDocument/2006/relationships/hyperlink" Target="https://tudelft.jobteaser.com/en/recruiter_account/sign_in" TargetMode="External"/></Relationships>
</file>

<file path=xl/worksheets/sheet1.xml><?xml version="1.0" encoding="utf-8"?>
<worksheet xmlns="http://schemas.openxmlformats.org/spreadsheetml/2006/main" xmlns:r="http://schemas.openxmlformats.org/officeDocument/2006/relationships">
  <dimension ref="A1:J998"/>
  <sheetViews>
    <sheetView workbookViewId="0" rightToLeft="0"/>
  </sheetViews>
  <sheetData>
    <row r="1">
      <c r="A1" t="str">
        <v>POLEmailContact</v>
      </c>
      <c r="B1" t="str">
        <v>POLUniversityName</v>
      </c>
      <c r="C1" t="str">
        <v>City</v>
      </c>
      <c r="D1" t="str">
        <v>Interested?</v>
      </c>
      <c r="E1" t="str">
        <v>Gereageerd?</v>
      </c>
      <c r="F1" t="str">
        <v>Link to career portal</v>
      </c>
      <c r="G1" t="str">
        <v>Career Portal Sign Up</v>
      </c>
      <c r="H1" t="str">
        <v>Job posted?</v>
      </c>
      <c r="I1" t="str">
        <v>Renewal Date</v>
      </c>
      <c r="J1" t="str">
        <v>Notes</v>
      </c>
    </row>
    <row r="2">
      <c r="A2" t="str">
        <v>biurokarier@adm.uw.edu.pl</v>
      </c>
      <c r="B2" t="str">
        <v>University of Warsaw</v>
      </c>
      <c r="C2" t="str">
        <v>Warsaw</v>
      </c>
      <c r="D2" t="b">
        <v>0</v>
      </c>
      <c r="E2" t="b">
        <v>1</v>
      </c>
      <c r="F2" t="str">
        <v>http://www.biurokarier.edu.pl/</v>
      </c>
      <c r="G2" t="b">
        <v>0</v>
      </c>
      <c r="H2" t="b">
        <v>0</v>
      </c>
    </row>
    <row r="3">
      <c r="A3" t="str">
        <v>biurokarier@pw.edu.pl</v>
      </c>
      <c r="B3" t="str">
        <v>Warsaw University of Technology</v>
      </c>
      <c r="C3" t="str">
        <f>IFERROR(__xludf.DUMMYFUNCTION("AI(""The city of the university that is in the next row"")"),"Warsaw")</f>
        <v>Warsaw</v>
      </c>
      <c r="D3" t="b">
        <v>0</v>
      </c>
      <c r="E3" t="b">
        <v>1</v>
      </c>
      <c r="F3" t="str">
        <v>https://bk.pw.edu.pl/dodaj-oferte-pracy</v>
      </c>
      <c r="G3" t="b">
        <v>0</v>
      </c>
      <c r="H3" t="b">
        <v>0</v>
      </c>
    </row>
    <row r="4">
      <c r="A4" t="str">
        <v>serwis.kariera@sgh.waw.pl</v>
      </c>
      <c r="B4" t="str">
        <v>SGH Warsaw School of Economics</v>
      </c>
      <c r="C4" t="str">
        <f>IFERROR(__xludf.DUMMYFUNCTION("AI(""The city of the university that is in the next row"")"),"Warsaw")</f>
        <v>Warsaw</v>
      </c>
      <c r="D4" t="b">
        <v>0</v>
      </c>
      <c r="E4" t="b">
        <v>1</v>
      </c>
      <c r="F4" t="str">
        <v>https://kariera.sgh.waw.pl</v>
      </c>
      <c r="G4" t="b">
        <v>0</v>
      </c>
      <c r="H4" t="b">
        <v>0</v>
      </c>
    </row>
    <row r="5">
      <c r="A5" t="str">
        <v>kariery@uj.edu.pl</v>
      </c>
      <c r="B5" t="str">
        <v>Jagiellonian University</v>
      </c>
      <c r="C5" t="str">
        <f>IFERROR(__xludf.DUMMYFUNCTION("AI(""The city of the university that is in the next row"")"),"Kraków")</f>
        <v>Kraków</v>
      </c>
      <c r="D5" t="b">
        <v>0</v>
      </c>
      <c r="E5" t="b">
        <v>1</v>
      </c>
      <c r="G5" t="b">
        <v>0</v>
      </c>
      <c r="H5" t="b">
        <v>0</v>
      </c>
      <c r="J5" t="str">
        <v>Not interested in international placement</v>
      </c>
    </row>
    <row r="6">
      <c r="A6" t="str">
        <v>ckagh@agh.edu.pl</v>
      </c>
      <c r="B6" t="str">
        <v>AGH University of Science and Technology</v>
      </c>
      <c r="C6" t="str">
        <f>IFERROR(__xludf.DUMMYFUNCTION("AI(""The city of the university that is in the next row"")"),"Kraków")</f>
        <v>Kraków</v>
      </c>
      <c r="D6" t="b">
        <v>0</v>
      </c>
      <c r="E6" t="b">
        <v>1</v>
      </c>
      <c r="F6" t="str">
        <v>https://praca.ck.agh.edu.pl/en</v>
      </c>
      <c r="G6" t="b">
        <v>0</v>
      </c>
      <c r="H6" t="b">
        <v>0</v>
      </c>
    </row>
    <row r="7">
      <c r="A7" t="str">
        <v>pkowalska@kozminski.edu.pl</v>
      </c>
      <c r="B7" t="str">
        <v>Kozminski University</v>
      </c>
      <c r="C7" t="str">
        <f>IFERROR(__xludf.DUMMYFUNCTION("AI(""The city of the university that is in the next row"")"),"Warsaw")</f>
        <v>Warsaw</v>
      </c>
      <c r="D7" t="b">
        <v>0</v>
      </c>
      <c r="E7" t="b">
        <v>1</v>
      </c>
      <c r="G7" t="b">
        <v>0</v>
      </c>
      <c r="H7" t="b">
        <v>0</v>
      </c>
      <c r="J7" t="str">
        <v>23-09 follow up email verstuurd</v>
      </c>
    </row>
    <row r="8">
      <c r="A8" t="str">
        <v>biurokarier@uni.lodz.pl</v>
      </c>
      <c r="B8" t="str">
        <v>University of Lodz</v>
      </c>
      <c r="C8" t="str">
        <f>IFERROR(__xludf.DUMMYFUNCTION("AI(""The city of the university that is in the next row"")"),"Wrocław")</f>
        <v>Wrocław</v>
      </c>
      <c r="D8" t="b">
        <v>0</v>
      </c>
      <c r="E8" t="b">
        <v>0</v>
      </c>
      <c r="G8" t="b">
        <v>0</v>
      </c>
      <c r="H8" t="b">
        <v>0</v>
      </c>
      <c r="J8" t="str">
        <v>23-09 follow up email verstuurd</v>
      </c>
    </row>
    <row r="9">
      <c r="A9" t="str">
        <v>biurokarier@uwr.edu.pl</v>
      </c>
      <c r="B9" t="str">
        <v>University of Wroclaw</v>
      </c>
      <c r="C9" t="str">
        <f>IFERROR(__xludf.DUMMYFUNCTION("AI(""The city of the university that is in the next row"")"),"Wrocław")</f>
        <v>Wrocław</v>
      </c>
      <c r="D9" t="b">
        <v>0</v>
      </c>
      <c r="E9" t="b">
        <v>0</v>
      </c>
      <c r="G9" t="b">
        <v>0</v>
      </c>
      <c r="H9" t="b">
        <v>0</v>
      </c>
    </row>
    <row r="10">
      <c r="A10" t="str">
        <v>biurokarier@ue.wroc.pl</v>
      </c>
      <c r="B10" t="str">
        <v>Wroclaw University of Economics and Business</v>
      </c>
      <c r="C10" t="str">
        <f>IFERROR(__xludf.DUMMYFUNCTION("AI(""The city of the university that is in the next row"")"),"Wrocław")</f>
        <v>Wrocław</v>
      </c>
      <c r="D10" t="b">
        <v>0</v>
      </c>
      <c r="E10" t="b">
        <v>1</v>
      </c>
      <c r="F10" t="str">
        <v>https://uewroc.jobteaser.com/en/company_account/sign_in</v>
      </c>
      <c r="G10" t="b">
        <v>0</v>
      </c>
      <c r="H10" t="b">
        <v>0</v>
      </c>
    </row>
    <row r="11">
      <c r="A11" t="str">
        <v>biurokarier@ug.edu.pl</v>
      </c>
      <c r="B11" t="str">
        <v>University of Gdansk</v>
      </c>
      <c r="C11" t="str">
        <f>IFERROR(__xludf.DUMMYFUNCTION("AI(""The city of the university that is in the next row"")"),"Gdańsk")</f>
        <v>Gdańsk</v>
      </c>
      <c r="D11" t="b">
        <v>0</v>
      </c>
      <c r="E11" t="b">
        <v>1</v>
      </c>
      <c r="G11" t="b">
        <v>0</v>
      </c>
      <c r="H11" t="b">
        <v>0</v>
      </c>
      <c r="J11" t="str">
        <v>23-09 follow up email verstuurd</v>
      </c>
    </row>
    <row r="12">
      <c r="A12" t="str">
        <v>biuro.karier@pg.edu.pl</v>
      </c>
      <c r="B12" t="str">
        <v>Gdansk University of Technology</v>
      </c>
      <c r="C12" t="str">
        <f>IFERROR(__xludf.DUMMYFUNCTION("AI(""The city of the university that is in the next row"")"),"Gdańsk")</f>
        <v>Gdańsk</v>
      </c>
      <c r="D12" t="b">
        <v>0</v>
      </c>
      <c r="E12" t="b">
        <v>1</v>
      </c>
      <c r="F12" t="str">
        <v>https://politechnika-gdanska.jobteaser.com/pl/sp_companies/users/new?action=new&amp;controller=sp_companies%2Fusers&amp;i18n_locale=en</v>
      </c>
      <c r="G12" t="b">
        <v>1</v>
      </c>
      <c r="H12" t="b">
        <v>0</v>
      </c>
    </row>
    <row r="13">
      <c r="A13" t="str">
        <v>bkarier@amu.edu.pl</v>
      </c>
      <c r="B13" t="str">
        <v>Adam Mickiewicz University in Poznan</v>
      </c>
      <c r="C13" t="str">
        <f>IFERROR(__xludf.DUMMYFUNCTION("AI(""The city of the university that is in the next row"")"),"Poznań")</f>
        <v>Poznań</v>
      </c>
      <c r="D13" t="b">
        <v>0</v>
      </c>
      <c r="E13" t="b">
        <v>1</v>
      </c>
      <c r="G13" t="b">
        <v>0</v>
      </c>
      <c r="H13" t="b">
        <v>0</v>
      </c>
      <c r="J13" t="str">
        <v>23-09 follow up email verstuurd</v>
      </c>
    </row>
    <row r="14">
      <c r="A14" t="str">
        <v>bk@ue.poznan.pl</v>
      </c>
      <c r="B14" t="str">
        <v>Poznan University of Economics and Business</v>
      </c>
      <c r="C14" t="str">
        <f>IFERROR(__xludf.DUMMYFUNCTION("AI(""The city of the university that is in the next row"")"),"Kraków")</f>
        <v>Kraków</v>
      </c>
      <c r="D14" t="b">
        <v>0</v>
      </c>
      <c r="E14" t="b">
        <v>1</v>
      </c>
      <c r="G14" t="b">
        <v>0</v>
      </c>
      <c r="H14" t="b">
        <v>0</v>
      </c>
      <c r="J14" t="str">
        <v>23-09 follow up email verstuurd</v>
      </c>
    </row>
    <row r="15">
      <c r="A15" t="str">
        <v>cpk@put.poznan.pl</v>
      </c>
      <c r="B15" t="str">
        <v>Poznan University of Technology</v>
      </c>
      <c r="C15" t="str">
        <f>IFERROR(__xludf.DUMMYFUNCTION("AI(""The city of the university that is in the next row"")"),"Poznań")</f>
        <v>Poznań</v>
      </c>
      <c r="D15" t="b">
        <v>0</v>
      </c>
      <c r="E15" t="b">
        <v>0</v>
      </c>
      <c r="G15" t="b">
        <v>0</v>
      </c>
      <c r="H15" t="b">
        <v>0</v>
      </c>
      <c r="J15" t="str">
        <v>23-09 follow up email verstuurd</v>
      </c>
    </row>
    <row r="16">
      <c r="A16" t="str">
        <v>biurokarier@umk.pl</v>
      </c>
      <c r="B16" t="str">
        <v>Nicolaus Copernicus University in Torun</v>
      </c>
      <c r="C16" t="str">
        <f>IFERROR(__xludf.DUMMYFUNCTION("AI(""The city of the university that is in the next row"")"),"Toruń")</f>
        <v>Toruń</v>
      </c>
      <c r="D16" t="b">
        <v>0</v>
      </c>
      <c r="E16" t="b">
        <v>1</v>
      </c>
      <c r="G16" t="b">
        <v>0</v>
      </c>
      <c r="H16" t="b">
        <v>0</v>
      </c>
      <c r="J16" t="str">
        <v>23-09 follow up email verstuurd</v>
      </c>
    </row>
    <row r="17">
      <c r="A17" t="str">
        <v>bk@us.edu.pl</v>
      </c>
      <c r="B17" t="str">
        <v>University of Silesia in Katowice</v>
      </c>
      <c r="C17" t="str">
        <f>IFERROR(__xludf.DUMMYFUNCTION("AI(""The city of the university that is in the next row"")"),"Katowice")</f>
        <v>Katowice</v>
      </c>
      <c r="D17" t="b">
        <v>0</v>
      </c>
      <c r="E17" t="b">
        <v>0</v>
      </c>
      <c r="F17" t="str">
        <v>https://biurokarier.edu.pl/index.php?module=main.Main&amp;view=default&amp;lang=en</v>
      </c>
      <c r="G17" t="b">
        <v>0</v>
      </c>
      <c r="H17" t="b">
        <v>0</v>
      </c>
    </row>
    <row r="18">
      <c r="A18" t="str">
        <v>kariera@polsl.pl</v>
      </c>
      <c r="B18" t="str">
        <v>Silesian University of Technology</v>
      </c>
      <c r="C18" t="str">
        <f>IFERROR(__xludf.DUMMYFUNCTION("AI(""The city of the university that is in the next row"")"),"Gliwice")</f>
        <v>Gliwice</v>
      </c>
      <c r="D18" t="b">
        <v>0</v>
      </c>
      <c r="E18" t="b">
        <v>0</v>
      </c>
      <c r="G18" t="b">
        <v>0</v>
      </c>
      <c r="H18" t="b">
        <v>0</v>
      </c>
      <c r="J18" t="str">
        <v>23-09 follow up email verstuurd</v>
      </c>
    </row>
    <row r="19">
      <c r="A19" t="str">
        <v>ckwa@ue.katowice.pl</v>
      </c>
      <c r="B19" t="str">
        <v>University of Economics in Katowice</v>
      </c>
      <c r="C19" t="str">
        <f>IFERROR(__xludf.DUMMYFUNCTION("AI(""The city of the university that is in the next row"")"),"Katowice")</f>
        <v>Katowice</v>
      </c>
      <c r="D19" t="b">
        <v>0</v>
      </c>
      <c r="E19" t="b">
        <v>1</v>
      </c>
      <c r="F19" t="str">
        <v>http://www.ue.katowice.pl/biznes/publikacja-ofert-rekrutacyjnych/zglos-oferte-rekrutacyjna.html</v>
      </c>
      <c r="G19" t="b">
        <v>0</v>
      </c>
      <c r="H19" t="b">
        <v>0</v>
      </c>
    </row>
    <row r="20">
      <c r="A20" t="str">
        <v>kariery@uek.krakow.pl</v>
      </c>
      <c r="B20" t="str">
        <v>Cracow University of Economics</v>
      </c>
      <c r="C20" t="str">
        <f>IFERROR(__xludf.DUMMYFUNCTION("AI(""The city of the university that is in the next row"")"),"Lodz")</f>
        <v>Lodz</v>
      </c>
      <c r="D20" t="b">
        <v>0</v>
      </c>
      <c r="E20" t="b">
        <v>1</v>
      </c>
      <c r="F20" t="str">
        <v>https://kariery.uek.krakow.pl/en/employer-zone/jobteaser-scc/#accounts</v>
      </c>
      <c r="G20" t="b">
        <v>0</v>
      </c>
      <c r="H20" t="b">
        <v>0</v>
      </c>
      <c r="J20" t="str">
        <v>chose Institution-linked company</v>
      </c>
    </row>
    <row r="21">
      <c r="A21" t="str">
        <v>abk@usz.edu.pl</v>
      </c>
      <c r="B21" t="str">
        <v>University of Szczecin</v>
      </c>
      <c r="C21" t="str">
        <f>IFERROR(__xludf.DUMMYFUNCTION("AI(""The city of the university that is in the next row"")"),"Szczecin")</f>
        <v>Szczecin</v>
      </c>
      <c r="D21" t="b">
        <v>0</v>
      </c>
      <c r="E21" t="b">
        <v>1</v>
      </c>
      <c r="F21" t="str">
        <v>https://abk-usz.jobteaser.com/en/recruiter-solutions</v>
      </c>
      <c r="G21" t="b">
        <v>0</v>
      </c>
      <c r="H21" t="b">
        <v>0</v>
      </c>
      <c r="J21" t="str">
        <v>chose Institution-linked company</v>
      </c>
    </row>
    <row r="22">
      <c r="A22" t="str">
        <v>brk@umcs.pl</v>
      </c>
      <c r="B22" t="str">
        <v>Maria Curie-Skłodowska University</v>
      </c>
      <c r="C22" t="str">
        <f>IFERROR(__xludf.DUMMYFUNCTION("AI(""The city of the university that is in the next row"")"),"Lublin")</f>
        <v>Lublin</v>
      </c>
      <c r="D22" t="b">
        <v>0</v>
      </c>
      <c r="E22" t="b">
        <v>1</v>
      </c>
      <c r="G22" t="b">
        <v>0</v>
      </c>
      <c r="H22" t="b">
        <v>0</v>
      </c>
      <c r="J22" t="str">
        <v>23-09 follow up email verstuurd</v>
      </c>
    </row>
    <row r="23">
      <c r="A23" t="str">
        <v>kariera@ur.edu.pl</v>
      </c>
      <c r="B23" t="str">
        <v>University of Rzeszow</v>
      </c>
      <c r="C23" t="str">
        <f>IFERROR(__xludf.DUMMYFUNCTION("AI(""The city of the university that is in the next row"")"),"Rzeszów")</f>
        <v>Rzeszów</v>
      </c>
      <c r="D23" t="b">
        <v>0</v>
      </c>
      <c r="E23" t="b">
        <v>0</v>
      </c>
      <c r="G23" t="b">
        <v>0</v>
      </c>
      <c r="H23" t="b">
        <v>0</v>
      </c>
      <c r="J23" t="str">
        <v>23-09 follow up email verstuurd</v>
      </c>
    </row>
    <row r="24">
      <c r="A24" t="str">
        <v>biurokarier@pollub.pl</v>
      </c>
      <c r="B24" t="str">
        <v>Lublin University of Technology</v>
      </c>
      <c r="C24" t="str">
        <f>IFERROR(__xludf.DUMMYFUNCTION("AI(""The city of the university that is in the next row"")"),"Lublin")</f>
        <v>Lublin</v>
      </c>
      <c r="D24" t="b">
        <v>0</v>
      </c>
      <c r="E24" t="b">
        <v>0</v>
      </c>
      <c r="G24" t="b">
        <v>0</v>
      </c>
      <c r="H24" t="b">
        <v>0</v>
      </c>
      <c r="J24" t="str">
        <v>23-09 follow up email verstuurd</v>
      </c>
    </row>
    <row r="25">
      <c r="A25" t="str">
        <v>dzial.karier@vistula.edu.pl</v>
      </c>
      <c r="B25" t="str">
        <v>Vistula University</v>
      </c>
      <c r="C25" t="str">
        <f>IFERROR(__xludf.DUMMYFUNCTION("AI(""The city of the university that is in the next row"")"),"Warsaw")</f>
        <v>Warsaw</v>
      </c>
      <c r="D25" t="b">
        <v>0</v>
      </c>
      <c r="E25" t="b">
        <v>1</v>
      </c>
      <c r="G25" t="b">
        <v>0</v>
      </c>
      <c r="H25" t="b">
        <v>0</v>
      </c>
      <c r="J25" t="str">
        <v>Awaiting a reply from Ms Marzena Tulczyjew</v>
      </c>
    </row>
    <row r="26">
      <c r="A26" t="str">
        <v>praktyki.swps@swps.edu.pl</v>
      </c>
      <c r="B26" t="str">
        <v>SWPS University</v>
      </c>
      <c r="C26" t="str">
        <f>IFERROR(__xludf.DUMMYFUNCTION("AI(""The city of the university that is in the next row"")"),"Wrocław")</f>
        <v>Wrocław</v>
      </c>
      <c r="D26" t="b">
        <v>0</v>
      </c>
      <c r="E26" t="b">
        <v>1</v>
      </c>
      <c r="G26" t="b">
        <v>0</v>
      </c>
      <c r="H26" t="b">
        <v>0</v>
      </c>
      <c r="J26" t="str">
        <v>23-09 follow up email verstuurd</v>
      </c>
    </row>
    <row r="27">
      <c r="C27" t="str">
        <f>IFERROR(__xludf.DUMMYFUNCTION("AI(""The city of the university that is in the next row"")"),"I do not have enough information to determine the city because there is no university listed in the next row.")</f>
        <v>I do not have enough information to determine the city because there is no university listed in the next row.</v>
      </c>
      <c r="D27" t="b">
        <v>0</v>
      </c>
      <c r="E27" t="b">
        <v>0</v>
      </c>
      <c r="G27" t="b">
        <v>0</v>
      </c>
      <c r="H27" t="b">
        <v>0</v>
      </c>
    </row>
  </sheetData>
  <hyperlinks>
    <hyperlink ref="F2" r:id="rId1"/>
    <hyperlink ref="F3" r:id="rId2"/>
    <hyperlink ref="F4" r:id="rId3"/>
    <hyperlink ref="F6" r:id="rId4"/>
    <hyperlink ref="F10" r:id="rId5"/>
    <hyperlink ref="F12" r:id="rId6"/>
    <hyperlink ref="F17" r:id="rId7"/>
    <hyperlink ref="F19" r:id="rId8"/>
    <hyperlink ref="F20" r:id="rId9" location="accounts"/>
    <hyperlink ref="F21" r:id="rId10"/>
  </hyperlinks>
  <ignoredErrors>
    <ignoredError numberStoredAsText="1" sqref="A1:J998"/>
  </ignoredErrors>
</worksheet>
</file>

<file path=xl/worksheets/sheet2.xml><?xml version="1.0" encoding="utf-8"?>
<worksheet xmlns="http://schemas.openxmlformats.org/spreadsheetml/2006/main" xmlns:r="http://schemas.openxmlformats.org/officeDocument/2006/relationships">
  <dimension ref="A1:J998"/>
  <sheetViews>
    <sheetView workbookViewId="0" rightToLeft="0"/>
  </sheetViews>
  <sheetData>
    <row r="1">
      <c r="A1" t="str">
        <v>AUSEmailContact</v>
      </c>
      <c r="B1" t="str">
        <v>AUSUniversityName</v>
      </c>
      <c r="C1" t="str">
        <v>City</v>
      </c>
      <c r="D1" t="str">
        <v>Interested?</v>
      </c>
      <c r="E1" t="str">
        <v>Gereageerd?</v>
      </c>
      <c r="F1" t="str">
        <v>Link to career portal</v>
      </c>
      <c r="G1" t="str">
        <v>Career Portal Sign Up</v>
      </c>
      <c r="H1" t="str">
        <v>On board?</v>
      </c>
      <c r="I1" t="str">
        <v>Renewal Date</v>
      </c>
      <c r="J1" t="str">
        <v>Notes</v>
      </c>
    </row>
    <row r="2">
      <c r="A2" t="str">
        <v>office@uniport.at</v>
      </c>
      <c r="B2" t="str">
        <v>University of Vienna</v>
      </c>
      <c r="C2" t="str">
        <v>Vienna</v>
      </c>
      <c r="D2" t="b">
        <v>0</v>
      </c>
      <c r="E2" t="b">
        <v>1</v>
      </c>
      <c r="G2" t="b">
        <v>0</v>
      </c>
      <c r="H2" t="b">
        <v>0</v>
      </c>
      <c r="J2" t="str">
        <v>Paid service</v>
      </c>
    </row>
    <row r="3">
      <c r="A3" t="str">
        <v>office@zbp.at</v>
      </c>
      <c r="B3" t="str">
        <v>Vienna University of Economics and Business</v>
      </c>
      <c r="C3" t="str">
        <f>IFERROR(__xludf.DUMMYFUNCTION("AI(""The city of the university that is in the next row"")"),"Vienna")</f>
        <v>Vienna</v>
      </c>
      <c r="D3" t="b">
        <v>0</v>
      </c>
      <c r="E3" t="b">
        <v>1</v>
      </c>
      <c r="G3" t="b">
        <v>0</v>
      </c>
      <c r="H3" t="b">
        <v>0</v>
      </c>
    </row>
    <row r="4">
      <c r="A4" t="str">
        <v>office@tucareer.com</v>
      </c>
      <c r="B4" t="str">
        <v>TU Wien</v>
      </c>
      <c r="C4" t="str">
        <f>IFERROR(__xludf.DUMMYFUNCTION("AI(""The city of the university that is in the next row"")"),"Vienna")</f>
        <v>Vienna</v>
      </c>
      <c r="D4" t="b">
        <v>0</v>
      </c>
      <c r="E4" t="b">
        <v>0</v>
      </c>
      <c r="G4" t="b">
        <v>0</v>
      </c>
      <c r="H4" t="b">
        <v>0</v>
      </c>
      <c r="J4" t="str">
        <v>23-09 Follow up email verstuurd</v>
      </c>
    </row>
    <row r="5">
      <c r="A5" t="str">
        <v>careercenter@uni-graz.at</v>
      </c>
      <c r="B5" t="str">
        <v>University of Graz</v>
      </c>
      <c r="C5" t="str">
        <f>IFERROR(__xludf.DUMMYFUNCTION("AI(""The city of the university that is in the next row"")"),"Graz")</f>
        <v>Graz</v>
      </c>
      <c r="D5" t="b">
        <v>0</v>
      </c>
      <c r="E5" t="b">
        <v>1</v>
      </c>
      <c r="G5" t="b">
        <v>0</v>
      </c>
      <c r="H5" t="b">
        <v>0</v>
      </c>
      <c r="J5" t="str">
        <v>23-09 Follow up email verstuurd</v>
      </c>
    </row>
    <row r="6">
      <c r="A6" t="str">
        <v>jobpostings@tugraz.at</v>
      </c>
      <c r="B6" t="str">
        <v>Graz University of Technology</v>
      </c>
      <c r="C6" t="str">
        <f>IFERROR(__xludf.DUMMYFUNCTION("AI(""The city of the university that is in the next row"")"),"Graz")</f>
        <v>Graz</v>
      </c>
      <c r="D6" t="b">
        <v>0</v>
      </c>
      <c r="E6" t="b">
        <v>0</v>
      </c>
      <c r="G6" t="b">
        <v>0</v>
      </c>
      <c r="H6" t="b">
        <v>0</v>
      </c>
      <c r="J6" t="str">
        <v>23-09 Follow up email verstuurd</v>
      </c>
    </row>
    <row r="7">
      <c r="A7" t="str">
        <v>career-service@uibk.ac.at</v>
      </c>
      <c r="B7" t="str">
        <v>University of Innsbruck</v>
      </c>
      <c r="C7" t="str">
        <f>IFERROR(__xludf.DUMMYFUNCTION("AI(""The city of the university that is in the next row"")"),"Innsbruck")</f>
        <v>Innsbruck</v>
      </c>
      <c r="D7" t="b">
        <v>0</v>
      </c>
      <c r="E7" t="b">
        <v>0</v>
      </c>
      <c r="G7" t="b">
        <v>0</v>
      </c>
      <c r="H7" t="b">
        <v>0</v>
      </c>
      <c r="J7" t="str">
        <v>23-09 Follow up email verstuurd</v>
      </c>
    </row>
    <row r="8">
      <c r="A8" t="str">
        <v>career@plus.ac.at</v>
      </c>
      <c r="B8" t="str">
        <v>University of Salzburg</v>
      </c>
      <c r="C8" t="str">
        <f>IFERROR(__xludf.DUMMYFUNCTION("AI(""The city of the university that is in the next row"")"),"Salzburg")</f>
        <v>Salzburg</v>
      </c>
      <c r="D8" t="b">
        <v>0</v>
      </c>
      <c r="E8" t="b">
        <v>1</v>
      </c>
      <c r="F8" t="str">
        <v>Mail met verdere informatie versturen</v>
      </c>
      <c r="G8" t="b">
        <v>0</v>
      </c>
      <c r="H8" t="b">
        <v>0</v>
      </c>
    </row>
    <row r="9">
      <c r="A9" t="str">
        <v>karrierecenter@jku.at</v>
      </c>
      <c r="B9" t="str">
        <v>Johannes Kepler University Linz</v>
      </c>
      <c r="C9" t="str">
        <f>IFERROR(__xludf.DUMMYFUNCTION("AI(""The city of the university that is in the next row"")"),"Linz")</f>
        <v>Linz</v>
      </c>
      <c r="D9" t="b">
        <v>0</v>
      </c>
      <c r="E9" t="b">
        <v>0</v>
      </c>
      <c r="G9" t="b">
        <v>0</v>
      </c>
      <c r="H9" t="b">
        <v>0</v>
      </c>
      <c r="J9" t="str">
        <v>23-09 Follow up email verstuurd</v>
      </c>
    </row>
    <row r="10">
      <c r="A10" t="str">
        <v>karriere@aau.at</v>
      </c>
      <c r="B10" t="str">
        <v>University of Klagenfurt</v>
      </c>
      <c r="C10" t="str">
        <f>IFERROR(__xludf.DUMMYFUNCTION("AI(""The city of the university that is in the next row"")"),"Klagenfurt am Wörthersee")</f>
        <v>Klagenfurt am Wörthersee</v>
      </c>
      <c r="D10" t="b">
        <v>0</v>
      </c>
      <c r="E10" t="b">
        <v>0</v>
      </c>
      <c r="G10" t="b">
        <v>0</v>
      </c>
      <c r="H10" t="b">
        <v>0</v>
      </c>
      <c r="J10" t="str">
        <v>23-09 Follow up email verstuurd</v>
      </c>
    </row>
    <row r="11">
      <c r="A11" t="str">
        <v>career@mci.edu</v>
      </c>
      <c r="B11" t="str">
        <v>MCI The Entrepreneurial School</v>
      </c>
      <c r="C11" t="str">
        <f>IFERROR(__xludf.DUMMYFUNCTION("AI(""The city of the university that is in the next row"")"),"Innsbruck")</f>
        <v>Innsbruck</v>
      </c>
      <c r="D11" t="b">
        <v>0</v>
      </c>
      <c r="E11" t="b">
        <v>0</v>
      </c>
      <c r="G11" t="b">
        <v>0</v>
      </c>
      <c r="H11" t="b">
        <v>0</v>
      </c>
      <c r="J11" t="str">
        <v>23-09 Follow up email verstuurd</v>
      </c>
    </row>
    <row r="12">
      <c r="A12" t="str">
        <v>alumni@fh-wien.ac.at</v>
      </c>
      <c r="B12" t="str">
        <v>FH Wien der WKW</v>
      </c>
      <c r="C12" t="str">
        <f>IFERROR(__xludf.DUMMYFUNCTION("AI(""The city of the university that is in the next row"")"),"Vienna")</f>
        <v>Vienna</v>
      </c>
      <c r="D12" t="b">
        <v>0</v>
      </c>
      <c r="E12" t="b">
        <v>1</v>
      </c>
      <c r="F12" t="str">
        <v>https://su.jobteaser.com/de/recruiter-solutions</v>
      </c>
      <c r="G12" t="b">
        <v>0</v>
      </c>
      <c r="H12" t="b">
        <v>0</v>
      </c>
    </row>
    <row r="13">
      <c r="A13" t="str">
        <v>elke.franek-edlmayr@fhwn.ac.at</v>
      </c>
      <c r="B13" t="str">
        <v>University of Applied Sciences Wiener Neustadt</v>
      </c>
      <c r="C13" t="str">
        <f>IFERROR(__xludf.DUMMYFUNCTION("AI(""The city of the university that is in the next row"")"),"Wiener Neustadt, Wieselburg, Tulln, Vienna, and Salzburg")</f>
        <v>Wiener Neustadt, Wieselburg, Tulln, Vienna, and Salzburg</v>
      </c>
      <c r="D13" t="b">
        <v>1</v>
      </c>
      <c r="E13" t="b">
        <v>1</v>
      </c>
      <c r="G13" t="b">
        <v>0</v>
      </c>
      <c r="H13" t="b">
        <v>0</v>
      </c>
      <c r="J13" t="str">
        <v>Will respond to me</v>
      </c>
    </row>
    <row r="14">
      <c r="A14" t="str">
        <v>career@imc.ac.at</v>
      </c>
      <c r="B14" t="str">
        <v>IMC Krems</v>
      </c>
      <c r="C14" t="str">
        <f>IFERROR(__xludf.DUMMYFUNCTION("AI(""The city of the university that is in the next row"")"),"Krems an der Donau")</f>
        <v>Krems an der Donau</v>
      </c>
      <c r="D14" t="b">
        <v>0</v>
      </c>
      <c r="E14" t="b">
        <v>1</v>
      </c>
      <c r="F14" t="str">
        <v>https://su.jobteaser.com/en/recruiter-solutions</v>
      </c>
      <c r="G14" t="b">
        <v>0</v>
      </c>
      <c r="H14" t="b">
        <v>0</v>
      </c>
    </row>
    <row r="15">
      <c r="A15" t="str">
        <v>annamagdalena.drusko@fh-joanneum.at</v>
      </c>
      <c r="B15" t="str">
        <v>FH Joanneum</v>
      </c>
      <c r="C15" t="str">
        <f>IFERROR(__xludf.DUMMYFUNCTION("AI(""The city of the university that is in the next row"")"),"Graz, Kapfenberg, and Bad Gleichenberg")</f>
        <v>Graz, Kapfenberg, and Bad Gleichenberg</v>
      </c>
      <c r="D15" t="b">
        <v>0</v>
      </c>
      <c r="E15" t="b">
        <v>0</v>
      </c>
      <c r="G15" t="b">
        <v>0</v>
      </c>
      <c r="H15" t="b">
        <v>0</v>
      </c>
      <c r="J15" t="str">
        <v>23-09 Follow up email verstuurd</v>
      </c>
    </row>
    <row r="16">
      <c r="A16" t="str">
        <v>careerzone@fh-ooe.at</v>
      </c>
      <c r="B16" t="str">
        <v>University of Applied Sciences Upper Austria</v>
      </c>
      <c r="C16" t="str">
        <f>IFERROR(__xludf.DUMMYFUNCTION("AI(""The city of the university that is in the next row"")"),"Hagenberg, Linz, Steyr, and Wels")</f>
        <v>Hagenberg, Linz, Steyr, and Wels</v>
      </c>
      <c r="D16" t="b">
        <v>0</v>
      </c>
      <c r="E16" t="b">
        <v>0</v>
      </c>
      <c r="G16" t="b">
        <v>0</v>
      </c>
      <c r="H16" t="b">
        <v>0</v>
      </c>
      <c r="J16" t="str">
        <v>23-09 Follow up email verstuurd</v>
      </c>
    </row>
    <row r="17">
      <c r="A17" t="str">
        <v>career-service@fh-salzburg.ac.at</v>
      </c>
      <c r="B17" t="str">
        <v>Salzburg University of Applied Sciences</v>
      </c>
      <c r="C17" t="str">
        <f>IFERROR(__xludf.DUMMYFUNCTION("AI(""The city of the university that is in the next row"")"),"Puch bei Hallein")</f>
        <v>Puch bei Hallein</v>
      </c>
      <c r="D17" t="b">
        <v>0</v>
      </c>
      <c r="E17" t="b">
        <v>1</v>
      </c>
      <c r="F17" t="str">
        <v>https://www.fh-salzburg.ac.at/en/services/career-center/service-for-companies/job-and-career-platform</v>
      </c>
      <c r="G17" t="b">
        <v>0</v>
      </c>
      <c r="H17" t="b">
        <v>0</v>
      </c>
    </row>
    <row r="18">
      <c r="A18" t="str">
        <v>susanna.siegl@technikum-wien.at</v>
      </c>
      <c r="B18" t="str">
        <v>University of Applied Sciences Technikum Wien</v>
      </c>
      <c r="C18" t="str">
        <f>IFERROR(__xludf.DUMMYFUNCTION("AI(""The city of the university that is in the next row"")"),"Vienna")</f>
        <v>Vienna</v>
      </c>
      <c r="D18" t="b">
        <v>0</v>
      </c>
      <c r="E18" t="b">
        <v>0</v>
      </c>
      <c r="G18" t="b">
        <v>0</v>
      </c>
      <c r="H18" t="b">
        <v>0</v>
      </c>
      <c r="J18" t="str">
        <v>23-09 Follow up email verstuurd</v>
      </c>
    </row>
    <row r="19">
      <c r="A19" t="str">
        <v>career@modul.ac.at</v>
      </c>
      <c r="B19" t="str">
        <v>Modul University Vienna</v>
      </c>
      <c r="C19" t="str">
        <f>IFERROR(__xludf.DUMMYFUNCTION("AI(""The city of the university that is in the next row"")"),"Vienna")</f>
        <v>Vienna</v>
      </c>
      <c r="D19" t="b">
        <v>0</v>
      </c>
      <c r="E19" t="b">
        <v>0</v>
      </c>
      <c r="G19" t="b">
        <v>0</v>
      </c>
      <c r="H19" t="b">
        <v>0</v>
      </c>
    </row>
    <row r="20">
      <c r="A20" t="str">
        <v>career.services@webster.ac.at</v>
      </c>
      <c r="B20" t="str">
        <v>Webster Vienna Private University</v>
      </c>
      <c r="C20" t="str">
        <f>IFERROR(__xludf.DUMMYFUNCTION("AI(""The city of the university that is in the next row"")"),"Vienna")</f>
        <v>Vienna</v>
      </c>
      <c r="D20" t="b">
        <v>0</v>
      </c>
      <c r="E20" t="b">
        <v>0</v>
      </c>
      <c r="G20" t="b">
        <v>0</v>
      </c>
      <c r="H20" t="b">
        <v>0</v>
      </c>
      <c r="J20" t="str">
        <v>23-09 Follow up email verstuurd</v>
      </c>
    </row>
    <row r="21">
      <c r="A21" t="str">
        <v>CEUcareers@ceu.edu</v>
      </c>
      <c r="B21" t="str">
        <v>Central European University</v>
      </c>
      <c r="C21" t="str">
        <f>IFERROR(__xludf.DUMMYFUNCTION("AI(""The city of the university that is in the next row"")"),"Vienna")</f>
        <v>Vienna</v>
      </c>
      <c r="D21" t="b">
        <v>0</v>
      </c>
      <c r="E21" t="b">
        <v>0</v>
      </c>
      <c r="G21" t="b">
        <v>0</v>
      </c>
      <c r="H21" t="b">
        <v>0</v>
      </c>
      <c r="J21" t="str">
        <v>23-09 Follow up email verstuurd</v>
      </c>
    </row>
    <row r="22">
      <c r="C22" t="str">
        <f>IFERROR(__xludf.DUMMYFUNCTION("AI(""The city of the university that is in the next row"")"),"I do not have enough information to answer the query. Please provide the university name in the next row (row 23) to determine its city.")</f>
        <v>I do not have enough information to answer the query. Please provide the university name in the next row (row 23) to determine its city.</v>
      </c>
      <c r="D22" t="b">
        <v>0</v>
      </c>
      <c r="E22" t="b">
        <v>0</v>
      </c>
      <c r="G22" t="b">
        <v>0</v>
      </c>
      <c r="H22" t="b">
        <v>0</v>
      </c>
    </row>
    <row r="23">
      <c r="C23" t="str">
        <f>IFERROR(__xludf.DUMMYFUNCTION("AI(""The city of the university that is in the next row"")"),"I do not have enough information to answer the query. I am missing the university name in the next row to determine its city.")</f>
        <v>I do not have enough information to answer the query. I am missing the university name in the next row to determine its city.</v>
      </c>
      <c r="D23" t="b">
        <v>0</v>
      </c>
      <c r="E23" t="b">
        <v>0</v>
      </c>
      <c r="G23" t="b">
        <v>0</v>
      </c>
      <c r="H23" t="b">
        <v>0</v>
      </c>
    </row>
    <row r="24">
      <c r="C24" t="str">
        <f>IFERROR(__xludf.DUMMYFUNCTION("AI(""The city of the university that is in the next row"")"),"I do not have enough information to determine the city because the university name in the next row is missing.")</f>
        <v>I do not have enough information to determine the city because the university name in the next row is missing.</v>
      </c>
      <c r="D24" t="b">
        <v>0</v>
      </c>
      <c r="E24" t="b">
        <v>0</v>
      </c>
      <c r="G24" t="b">
        <v>0</v>
      </c>
      <c r="H24" t="b">
        <v>0</v>
      </c>
    </row>
    <row r="25">
      <c r="C25" t="str">
        <f>IFERROR(__xludf.DUMMYFUNCTION("AI(""The city of the university that is in the next row"")"),"Vienna")</f>
        <v>Vienna</v>
      </c>
      <c r="D25" t="b">
        <v>0</v>
      </c>
      <c r="E25" t="b">
        <v>0</v>
      </c>
      <c r="G25" t="b">
        <v>0</v>
      </c>
      <c r="H25" t="b">
        <v>0</v>
      </c>
    </row>
    <row r="26">
      <c r="C26" t="str">
        <f>IFERROR(__xludf.DUMMYFUNCTION("AI(""The city of the university that is in the next row"")"),"I do not have enough information to determine the city because the next row in the spreadsheet is empty and does not specify a university.")</f>
        <v>I do not have enough information to determine the city because the next row in the spreadsheet is empty and does not specify a university.</v>
      </c>
      <c r="D26" t="b">
        <v>0</v>
      </c>
      <c r="E26" t="b">
        <v>0</v>
      </c>
      <c r="G26" t="b">
        <v>0</v>
      </c>
      <c r="H26" t="b">
        <v>0</v>
      </c>
    </row>
    <row r="27">
      <c r="C27" t="str">
        <f>IFERROR(__xludf.DUMMYFUNCTION("AI(""The city of the university that is in the next row"")"),"I do not have enough information to answer the query because there is no university listed in the next row (row 28) of the spreadsheet.")</f>
        <v>I do not have enough information to answer the query because there is no university listed in the next row (row 28) of the spreadsheet.</v>
      </c>
      <c r="D27" t="b">
        <v>0</v>
      </c>
      <c r="E27" t="b">
        <v>0</v>
      </c>
      <c r="G27" t="b">
        <v>0</v>
      </c>
      <c r="H27" t="b">
        <v>0</v>
      </c>
    </row>
  </sheetData>
  <hyperlinks>
    <hyperlink ref="F12" r:id="rId1"/>
    <hyperlink ref="F14" r:id="rId2"/>
    <hyperlink ref="F17" r:id="rId3"/>
  </hyperlinks>
  <ignoredErrors>
    <ignoredError numberStoredAsText="1" sqref="A1:J998"/>
  </ignoredErrors>
</worksheet>
</file>

<file path=xl/worksheets/sheet3.xml><?xml version="1.0" encoding="utf-8"?>
<worksheet xmlns="http://schemas.openxmlformats.org/spreadsheetml/2006/main" xmlns:r="http://schemas.openxmlformats.org/officeDocument/2006/relationships">
  <dimension ref="A1:J998"/>
  <sheetViews>
    <sheetView workbookViewId="0" rightToLeft="0"/>
  </sheetViews>
  <sheetData>
    <row r="1">
      <c r="A1" t="str">
        <v>DENEmailContact</v>
      </c>
      <c r="B1" t="str">
        <v>DENUniversityName</v>
      </c>
      <c r="C1" t="str">
        <v>City</v>
      </c>
      <c r="D1" t="str">
        <v>Interested?</v>
      </c>
      <c r="E1" t="str">
        <v>Gereageerd?</v>
      </c>
      <c r="F1" t="str">
        <v>Link to career portal</v>
      </c>
      <c r="G1" t="str">
        <v>Career Portal Sign Up</v>
      </c>
      <c r="H1" t="str">
        <v>On board?</v>
      </c>
      <c r="I1" t="str">
        <v>Renewal Date</v>
      </c>
      <c r="J1" t="str">
        <v>Notes</v>
      </c>
    </row>
    <row r="2">
      <c r="A2" t="str">
        <v>careers@cbs.dk</v>
      </c>
      <c r="B2" t="str">
        <v>Copenhagen Business School</v>
      </c>
      <c r="C2" t="str">
        <v>Copenhagen</v>
      </c>
      <c r="D2" t="b">
        <v>0</v>
      </c>
      <c r="E2" t="b">
        <v>1</v>
      </c>
      <c r="F2" t="str">
        <v>https://www.cbs.dk/en/about-cbs/organisation/companies#73100-cbs-jobportal</v>
      </c>
      <c r="G2" t="b">
        <v>0</v>
      </c>
      <c r="H2" t="b">
        <v>0</v>
      </c>
    </row>
    <row r="3">
      <c r="A3" t="str">
        <v>ku@ku.dk</v>
      </c>
      <c r="B3" t="str">
        <v>University of Copenhagen</v>
      </c>
      <c r="C3" t="str">
        <f>IFERROR(__xludf.DUMMYFUNCTION("AI(""The city of the university that is in the next row"")"),"Copenhagen")</f>
        <v>Copenhagen</v>
      </c>
      <c r="D3" t="b">
        <v>0</v>
      </c>
      <c r="E3" t="b">
        <v>0</v>
      </c>
      <c r="G3" t="b">
        <v>0</v>
      </c>
      <c r="H3" t="b">
        <v>0</v>
      </c>
    </row>
    <row r="4">
      <c r="A4" t="str">
        <v>au@au.dk</v>
      </c>
      <c r="B4" t="str">
        <v>Aarhus University</v>
      </c>
      <c r="C4" t="str">
        <f>IFERROR(__xludf.DUMMYFUNCTION("AI(""The city of the university that is in the next row"")"),"Aarhus")</f>
        <v>Aarhus</v>
      </c>
      <c r="D4" t="b">
        <v>0</v>
      </c>
      <c r="E4" t="b">
        <v>0</v>
      </c>
      <c r="G4" t="b">
        <v>0</v>
      </c>
      <c r="H4" t="b">
        <v>0</v>
      </c>
    </row>
    <row r="5">
      <c r="A5" t="str">
        <v>career@aau.dk</v>
      </c>
      <c r="B5" t="str">
        <v>Aalborg University</v>
      </c>
      <c r="C5" t="str">
        <f>IFERROR(__xludf.DUMMYFUNCTION("AI(""The city of the university that is in the next row"")"),"Aalborg, Esbjerg, and Copenhagen")</f>
        <v>Aalborg, Esbjerg, and Copenhagen</v>
      </c>
      <c r="D5" t="b">
        <v>0</v>
      </c>
      <c r="E5" t="b">
        <v>1</v>
      </c>
      <c r="F5" t="str">
        <v>https://jobbank.aau.dk/for-employers</v>
      </c>
      <c r="G5" t="b">
        <v>0</v>
      </c>
      <c r="H5" t="b">
        <v>0</v>
      </c>
    </row>
    <row r="6">
      <c r="A6" t="str">
        <v>business.school@sam.sdu.dk</v>
      </c>
      <c r="B6" t="str">
        <v>University of Southern Denmark</v>
      </c>
      <c r="C6" t="str">
        <f>IFERROR(__xludf.DUMMYFUNCTION("AI(""The city of the university that is in the next row"")"),"Odense, Esbjerg, Kolding, Sønderborg, Copenhagen, Slagelse, and Vejle")</f>
        <v>Odense, Esbjerg, Kolding, Sønderborg, Copenhagen, Slagelse, and Vejle</v>
      </c>
      <c r="D6" t="b">
        <v>0</v>
      </c>
      <c r="E6" t="b">
        <v>0</v>
      </c>
      <c r="G6" t="b">
        <v>0</v>
      </c>
      <c r="H6" t="b">
        <v>0</v>
      </c>
    </row>
    <row r="7">
      <c r="A7" t="str">
        <v>karriere@dtu.dk</v>
      </c>
      <c r="B7" t="str">
        <v>Technical University of Denmark</v>
      </c>
      <c r="C7" t="str">
        <f>IFERROR(__xludf.DUMMYFUNCTION("AI(""The city of the university that is in the next row"")"),"Kongens Lyngby")</f>
        <v>Kongens Lyngby</v>
      </c>
      <c r="D7" t="b">
        <v>0</v>
      </c>
      <c r="E7" t="b">
        <v>1</v>
      </c>
      <c r="F7" t="str">
        <v>Create an employer account on DTU Career Hub</v>
      </c>
      <c r="G7" t="b">
        <v>0</v>
      </c>
      <c r="H7" t="b">
        <v>0</v>
      </c>
    </row>
    <row r="8">
      <c r="A8" t="str">
        <v>erhvervssamarbejde@itu.dk</v>
      </c>
      <c r="B8" t="str">
        <v>IT University of Copenhagen</v>
      </c>
      <c r="C8" t="str">
        <f>IFERROR(__xludf.DUMMYFUNCTION("AI(""The city of the university that is in the next row"")"),"Copenhagen")</f>
        <v>Copenhagen</v>
      </c>
      <c r="D8" t="b">
        <v>0</v>
      </c>
      <c r="E8" t="b">
        <v>1</v>
      </c>
      <c r="F8" t="str">
        <v>https://itu.jobteaser.com/en/recruiter_account/sign_in</v>
      </c>
      <c r="G8" t="b">
        <v>0</v>
      </c>
      <c r="H8" t="b">
        <v>0</v>
      </c>
    </row>
    <row r="9">
      <c r="A9" t="str">
        <v>ruc@ruc.dk</v>
      </c>
      <c r="B9" t="str">
        <v>Roskilde University</v>
      </c>
      <c r="C9" t="str">
        <f>IFERROR(__xludf.DUMMYFUNCTION("AI(""The city of the university that is in the next row"")"),"Roskilde")</f>
        <v>Roskilde</v>
      </c>
      <c r="D9" t="b">
        <v>1</v>
      </c>
      <c r="E9" t="b">
        <v>0</v>
      </c>
      <c r="F9" t="str">
        <v>https://itu.jobteaser.com/en/recruiter_account/sign_in</v>
      </c>
      <c r="G9" t="b">
        <v>0</v>
      </c>
      <c r="H9" t="b">
        <v>0</v>
      </c>
    </row>
    <row r="10">
      <c r="A10" t="str">
        <v>tkej@via.dk</v>
      </c>
      <c r="B10" t="str">
        <v>VIA University College</v>
      </c>
      <c r="C10" t="str">
        <f>IFERROR(__xludf.DUMMYFUNCTION("AI(""The city of the university that is in the next row"")"),"Copenhagen")</f>
        <v>Copenhagen</v>
      </c>
      <c r="D10" t="b">
        <v>1</v>
      </c>
      <c r="E10" t="b">
        <v>0</v>
      </c>
      <c r="F10" t="str">
        <v>https://app.candeno.com/match/recruitment/jobs</v>
      </c>
      <c r="G10" t="b">
        <v>1</v>
      </c>
      <c r="H10" t="b">
        <v>0</v>
      </c>
      <c r="I10" t="str">
        <v>Sept 30th</v>
      </c>
    </row>
    <row r="11">
      <c r="A11" t="str">
        <v>studievejledning@kp.dk</v>
      </c>
      <c r="B11" t="str">
        <v>University College Copenhagen</v>
      </c>
      <c r="C11" t="str">
        <f>IFERROR(__xludf.DUMMYFUNCTION("AI(""The city of the university that is in the next row"")"),"Copenhagen")</f>
        <v>Copenhagen</v>
      </c>
      <c r="D11" t="b">
        <v>0</v>
      </c>
      <c r="E11" t="b">
        <v>0</v>
      </c>
      <c r="G11" t="b">
        <v>0</v>
      </c>
      <c r="H11" t="b">
        <v>0</v>
      </c>
    </row>
    <row r="12">
      <c r="A12" t="str">
        <v>career@baaa.dk</v>
      </c>
      <c r="B12" t="str">
        <v>Business Academy Aarhus</v>
      </c>
      <c r="C12" t="str">
        <f>IFERROR(__xludf.DUMMYFUNCTION("AI(""The city of the university that is in the next row"")"),"Aarhus")</f>
        <v>Aarhus</v>
      </c>
      <c r="D12" t="b">
        <v>0</v>
      </c>
      <c r="E12" t="b">
        <v>0</v>
      </c>
      <c r="G12" t="b">
        <v>0</v>
      </c>
      <c r="H12" t="b">
        <v>0</v>
      </c>
    </row>
    <row r="13">
      <c r="A13" t="str">
        <v>praktik@ek.dk</v>
      </c>
      <c r="B13" t="str">
        <v>Copenhagen School of Design and Technology</v>
      </c>
      <c r="C13" t="str">
        <f>IFERROR(__xludf.DUMMYFUNCTION("AI(""The city of the university that is in the next row"")"),"Copenhagen")</f>
        <v>Copenhagen</v>
      </c>
      <c r="D13" t="b">
        <v>1</v>
      </c>
      <c r="E13" t="b">
        <v>1</v>
      </c>
      <c r="F13" t="str">
        <v>https://ek.jobteaser.com/en/company_account/sign_in</v>
      </c>
      <c r="G13" t="b">
        <v>0</v>
      </c>
      <c r="H13" t="b">
        <v>0</v>
      </c>
    </row>
    <row r="14">
      <c r="A14" t="str">
        <v>krkn@iba.dk</v>
      </c>
      <c r="B14" t="str">
        <v>International Business Academy Kolding</v>
      </c>
      <c r="C14" t="str">
        <f>IFERROR(__xludf.DUMMYFUNCTION("AI(""The city of the university that is in the next row"")"),"Kolding")</f>
        <v>Kolding</v>
      </c>
      <c r="D14" t="b">
        <v>0</v>
      </c>
      <c r="E14" t="b">
        <v>0</v>
      </c>
      <c r="G14" t="b">
        <v>0</v>
      </c>
      <c r="H14" t="b">
        <v>0</v>
      </c>
    </row>
    <row r="15">
      <c r="A15" t="str">
        <v>zealand@zealand.dk</v>
      </c>
      <c r="B15" t="str">
        <v>Zealand Academy of Technologies and Business</v>
      </c>
      <c r="C15" t="str">
        <f>IFERROR(__xludf.DUMMYFUNCTION("AI(""The city of the university that is in the next row"")"),"Randers")</f>
        <v>Randers</v>
      </c>
      <c r="D15" t="b">
        <v>0</v>
      </c>
      <c r="E15" t="b">
        <v>0</v>
      </c>
      <c r="G15" t="b">
        <v>0</v>
      </c>
      <c r="H15" t="b">
        <v>0</v>
      </c>
    </row>
    <row r="16">
      <c r="A16" t="str">
        <v>libj@eadania.dk</v>
      </c>
      <c r="B16" t="str">
        <v>Dania Academy</v>
      </c>
      <c r="C16" t="str">
        <f>IFERROR(__xludf.DUMMYFUNCTION("AI(""The city of the university that is in the next row"")"),"Randers")</f>
        <v>Randers</v>
      </c>
      <c r="D16" t="b">
        <v>0</v>
      </c>
      <c r="E16" t="b">
        <v>0</v>
      </c>
      <c r="G16" t="b">
        <v>0</v>
      </c>
      <c r="H16" t="b">
        <v>0</v>
      </c>
    </row>
    <row r="17">
      <c r="A17" t="str">
        <v>international@pha.dk</v>
      </c>
      <c r="B17" t="str">
        <v>University College Absalon</v>
      </c>
      <c r="C17" t="str">
        <f>IFERROR(__xludf.DUMMYFUNCTION("AI(""The city of the university that is in the next row"")"),"Sorø, Næstved, Vordingborg, Roskilde, Nykøbing Falster, Kalundborg, Slagelse, and Holbæk")</f>
        <v>Sorø, Næstved, Vordingborg, Roskilde, Nykøbing Falster, Kalundborg, Slagelse, and Holbæk</v>
      </c>
      <c r="D17" t="b">
        <v>0</v>
      </c>
      <c r="E17" t="b">
        <v>0</v>
      </c>
      <c r="G17" t="b">
        <v>0</v>
      </c>
      <c r="H17" t="b">
        <v>0</v>
      </c>
    </row>
    <row r="18">
      <c r="C18" t="str">
        <f>IFERROR(__xludf.DUMMYFUNCTION("AI(""The city of the university that is in the next row"")"),"I do not have enough information to answer this query because the university name in the next row (row 19) is missing from the provided spreadsheet context.")</f>
        <v>I do not have enough information to answer this query because the university name in the next row (row 19) is missing from the provided spreadsheet context.</v>
      </c>
      <c r="D18" t="b">
        <v>0</v>
      </c>
      <c r="E18" t="b">
        <v>0</v>
      </c>
      <c r="G18" t="b">
        <v>0</v>
      </c>
      <c r="H18" t="b">
        <v>0</v>
      </c>
    </row>
    <row r="19">
      <c r="C19" t="str">
        <f>IFERROR(__xludf.DUMMYFUNCTION("AI(""The city of the university that is in the next row"")"),"I do not have enough information to answer the query. I am missing the name of the university in the next row (row 20) to determine its city.")</f>
        <v>I do not have enough information to answer the query. I am missing the name of the university in the next row (row 20) to determine its city.</v>
      </c>
      <c r="D19" t="b">
        <v>0</v>
      </c>
      <c r="E19" t="b">
        <v>0</v>
      </c>
      <c r="G19" t="b">
        <v>0</v>
      </c>
      <c r="H19" t="b">
        <v>0</v>
      </c>
    </row>
    <row r="20">
      <c r="C20" t="str">
        <f>IFERROR(__xludf.DUMMYFUNCTION("AI(""The city of the university that is in the next row"")"),"I do not have enough information to answer the query, as the spreadsheet does not contain university names for the subsequent rows.")</f>
        <v>I do not have enough information to answer the query, as the spreadsheet does not contain university names for the subsequent rows.</v>
      </c>
      <c r="D20" t="b">
        <v>0</v>
      </c>
      <c r="E20" t="b">
        <v>0</v>
      </c>
      <c r="G20" t="b">
        <v>0</v>
      </c>
      <c r="H20" t="b">
        <v>0</v>
      </c>
    </row>
    <row r="21">
      <c r="C21" t="str">
        <f>IFERROR(__xludf.DUMMYFUNCTION("AI(""The city of the university that is in the next row"")"),"Aarhus")</f>
        <v>Aarhus</v>
      </c>
      <c r="D21" t="b">
        <v>0</v>
      </c>
      <c r="E21" t="b">
        <v>0</v>
      </c>
      <c r="G21" t="b">
        <v>0</v>
      </c>
      <c r="H21" t="b">
        <v>0</v>
      </c>
    </row>
    <row r="22">
      <c r="C22" t="str">
        <f>IFERROR(__xludf.DUMMYFUNCTION("AI(""The city of the university that is in the next row"")"),"I do not have enough information to answer the query. I am missing the name of the university in the next row (row 23) to determine its city.")</f>
        <v>I do not have enough information to answer the query. I am missing the name of the university in the next row (row 23) to determine its city.</v>
      </c>
      <c r="D22" t="b">
        <v>0</v>
      </c>
      <c r="E22" t="b">
        <v>0</v>
      </c>
      <c r="G22" t="b">
        <v>0</v>
      </c>
      <c r="H22" t="b">
        <v>0</v>
      </c>
    </row>
    <row r="23">
      <c r="C23" t="str">
        <f>IFERROR(__xludf.DUMMYFUNCTION("AI(""The city of the university that is in the next row"")"),"I do not have enough information to answer the query. The university name in the next row (row 24) is missing from the spreadsheet context, so I cannot determine its city.")</f>
        <v>I do not have enough information to answer the query. The university name in the next row (row 24) is missing from the spreadsheet context, so I cannot determine its city.</v>
      </c>
      <c r="D23" t="b">
        <v>0</v>
      </c>
      <c r="E23" t="b">
        <v>0</v>
      </c>
      <c r="G23" t="b">
        <v>0</v>
      </c>
      <c r="H23" t="b">
        <v>0</v>
      </c>
    </row>
    <row r="24">
      <c r="C24" t="str">
        <f>IFERROR(__xludf.DUMMYFUNCTION("AI(""The city of the university that is in the next row"")"),"Aarhus")</f>
        <v>Aarhus</v>
      </c>
      <c r="D24" t="b">
        <v>0</v>
      </c>
      <c r="E24" t="b">
        <v>0</v>
      </c>
      <c r="G24" t="b">
        <v>0</v>
      </c>
      <c r="H24" t="b">
        <v>0</v>
      </c>
    </row>
    <row r="25">
      <c r="C25" t="str">
        <f>IFERROR(__xludf.DUMMYFUNCTION("AI(""The city of the university that is in the next row"")"),"I do not have enough information to answer the query. The spreadsheet does not provide the university name in the next row (row 26) to determine its city.")</f>
        <v>I do not have enough information to answer the query. The spreadsheet does not provide the university name in the next row (row 26) to determine its city.</v>
      </c>
      <c r="D25" t="b">
        <v>0</v>
      </c>
      <c r="E25" t="b">
        <v>0</v>
      </c>
      <c r="G25" t="b">
        <v>0</v>
      </c>
      <c r="H25" t="b">
        <v>0</v>
      </c>
    </row>
    <row r="26">
      <c r="C26" t="str">
        <f>IFERROR(__xludf.DUMMYFUNCTION("AI(""The city of the university that is in the next row"")"),"I do not have enough information to answer the query because the university name in the next row (row 27) is missing from the spreadsheet.")</f>
        <v>I do not have enough information to answer the query because the university name in the next row (row 27) is missing from the spreadsheet.</v>
      </c>
      <c r="D26" t="b">
        <v>0</v>
      </c>
      <c r="E26" t="b">
        <v>0</v>
      </c>
      <c r="G26" t="b">
        <v>0</v>
      </c>
      <c r="H26" t="b">
        <v>0</v>
      </c>
    </row>
    <row r="27">
      <c r="C27" t="str">
        <f>IFERROR(__xludf.DUMMYFUNCTION("AI(""The city of the university that is in the next row"")"),"I do not have enough information to answer the query. Please provide the university name for this row.")</f>
        <v>I do not have enough information to answer the query. Please provide the university name for this row.</v>
      </c>
      <c r="D27" t="b">
        <v>0</v>
      </c>
      <c r="E27" t="b">
        <v>0</v>
      </c>
      <c r="G27" t="b">
        <v>0</v>
      </c>
      <c r="H27" t="b">
        <v>0</v>
      </c>
    </row>
  </sheetData>
  <hyperlinks>
    <hyperlink ref="F2" r:id="rId1" location="73100-cbs-jobportal"/>
    <hyperlink ref="F5" r:id="rId2"/>
    <hyperlink ref="F7" r:id="rId3"/>
    <hyperlink ref="F8" r:id="rId4"/>
    <hyperlink ref="F9" r:id="rId5"/>
    <hyperlink ref="F10" r:id="rId6"/>
    <hyperlink ref="F13" r:id="rId7"/>
  </hyperlinks>
  <ignoredErrors>
    <ignoredError numberStoredAsText="1" sqref="A1:J998"/>
  </ignoredErrors>
</worksheet>
</file>

<file path=xl/worksheets/sheet4.xml><?xml version="1.0" encoding="utf-8"?>
<worksheet xmlns="http://schemas.openxmlformats.org/spreadsheetml/2006/main" xmlns:r="http://schemas.openxmlformats.org/officeDocument/2006/relationships">
  <dimension ref="A1:J998"/>
  <sheetViews>
    <sheetView workbookViewId="0" rightToLeft="0"/>
  </sheetViews>
  <sheetData>
    <row r="1">
      <c r="A1" t="str">
        <v>SWEEmailContact</v>
      </c>
      <c r="B1" t="str">
        <v>SWEUniversityName</v>
      </c>
      <c r="C1" t="str">
        <v>City</v>
      </c>
      <c r="D1" t="str">
        <v>Interested?</v>
      </c>
      <c r="E1" t="str">
        <v>Gereageerd?</v>
      </c>
      <c r="F1" t="str">
        <v>Link to career portal</v>
      </c>
      <c r="G1" t="str">
        <v>Career Portal Sign Up</v>
      </c>
      <c r="H1" t="str">
        <v>On board?</v>
      </c>
      <c r="I1" t="str">
        <v>Renewal Date</v>
      </c>
      <c r="J1" t="str">
        <v>Notes</v>
      </c>
    </row>
    <row r="2">
      <c r="A2" t="str">
        <v>careermanagement@hhs.se</v>
      </c>
      <c r="B2" t="str">
        <v>Stockholm School of Economics</v>
      </c>
      <c r="C2" t="str">
        <v>Stockholm</v>
      </c>
      <c r="D2" t="b">
        <v>0</v>
      </c>
      <c r="E2" t="b">
        <v>0</v>
      </c>
      <c r="G2" t="b">
        <v>0</v>
      </c>
      <c r="H2" t="b">
        <v>0</v>
      </c>
      <c r="J2" t="str">
        <v>Only take paid internships</v>
      </c>
    </row>
    <row r="3">
      <c r="A3" t="str">
        <v>reachtalent@su.se</v>
      </c>
      <c r="B3" t="str">
        <v>Stockholm University</v>
      </c>
      <c r="C3" t="str">
        <f>IFERROR(__xludf.DUMMYFUNCTION("AI(""The city of the university that is in the next row"")"),"Stockholm")</f>
        <v>Stockholm</v>
      </c>
      <c r="D3" t="b">
        <v>1</v>
      </c>
      <c r="E3" t="b">
        <v>1</v>
      </c>
      <c r="F3" t="str">
        <v>https://su.jobteaser.com/en/recruiter-solutions</v>
      </c>
      <c r="G3" t="b">
        <v>1</v>
      </c>
      <c r="H3" t="b">
        <v>0</v>
      </c>
      <c r="I3">
        <v>46631</v>
      </c>
    </row>
    <row r="4">
      <c r="A4" t="str">
        <v>career@ehl.lu.se</v>
      </c>
      <c r="B4" t="str">
        <v>Lund University</v>
      </c>
      <c r="C4" t="str">
        <f>IFERROR(__xludf.DUMMYFUNCTION("AI(""The city of the university that is in the next row"")"),"Uppsala")</f>
        <v>Uppsala</v>
      </c>
      <c r="D4" t="b">
        <v>0</v>
      </c>
      <c r="E4" t="b">
        <v>1</v>
      </c>
      <c r="F4" t="str">
        <v>https://lucareerhub.jobteaser.</v>
      </c>
      <c r="G4" t="b">
        <v>0</v>
      </c>
      <c r="H4" t="b">
        <v>0</v>
      </c>
    </row>
    <row r="5">
      <c r="A5" t="str">
        <v>careers@uu.se</v>
      </c>
      <c r="B5" t="str">
        <v>Uppsala University</v>
      </c>
      <c r="C5" t="str">
        <f>IFERROR(__xludf.DUMMYFUNCTION("AI(""The city of the university that is in the next row"")"),"Uppsala")</f>
        <v>Uppsala</v>
      </c>
      <c r="D5" t="b">
        <v>0</v>
      </c>
      <c r="E5" t="b">
        <v>1</v>
      </c>
      <c r="F5" t="str">
        <v>https://uucareergate.jobteaser.com/en/recruiter-solutions</v>
      </c>
      <c r="G5" t="b">
        <v>0</v>
      </c>
      <c r="H5" t="b">
        <v>0</v>
      </c>
    </row>
    <row r="6">
      <c r="A6" t="str">
        <v>career-service@handels.gu.se</v>
      </c>
      <c r="B6" t="str">
        <v>University of Gothenburg</v>
      </c>
      <c r="C6" t="str">
        <f>IFERROR(__xludf.DUMMYFUNCTION("AI(""The city of the university that is in the next row"")"),"Gothenburg")</f>
        <v>Gothenburg</v>
      </c>
      <c r="D6" t="b">
        <v>0</v>
      </c>
      <c r="E6" t="b">
        <v>0</v>
      </c>
      <c r="G6" t="b">
        <v>0</v>
      </c>
      <c r="H6" t="b">
        <v>0</v>
      </c>
    </row>
    <row r="7">
      <c r="A7" t="str">
        <v>naringsliv@ths.kth.se</v>
      </c>
      <c r="B7" t="str">
        <v>KTH Royal Institute of Technology</v>
      </c>
      <c r="C7" t="str">
        <f>IFERROR(__xludf.DUMMYFUNCTION("AI(""The city of the university that is in the next row"")"),"Stockholm")</f>
        <v>Stockholm</v>
      </c>
      <c r="D7" t="b">
        <v>0</v>
      </c>
      <c r="E7" t="b">
        <v>0</v>
      </c>
      <c r="G7" t="b">
        <v>0</v>
      </c>
      <c r="H7" t="b">
        <v>0</v>
      </c>
    </row>
    <row r="8">
      <c r="A8" t="str">
        <v>annons@chalmersrekrytering.se</v>
      </c>
      <c r="B8" t="str">
        <v>Chalmers University of Technology</v>
      </c>
      <c r="C8" t="str">
        <f>IFERROR(__xludf.DUMMYFUNCTION("AI(""The city of the university that is in the next row"")"),"Gothenburg")</f>
        <v>Gothenburg</v>
      </c>
      <c r="D8" t="b">
        <v>0</v>
      </c>
      <c r="E8" t="b">
        <v>0</v>
      </c>
      <c r="G8" t="b">
        <v>0</v>
      </c>
      <c r="H8" t="b">
        <v>0</v>
      </c>
    </row>
    <row r="9">
      <c r="A9" t="str">
        <v>info@liu.se</v>
      </c>
      <c r="B9" t="str">
        <v>Linköping University</v>
      </c>
      <c r="C9" t="str">
        <f>IFERROR(__xludf.DUMMYFUNCTION("AI(""The city of the university that is in the next row"")"),"Stockholm")</f>
        <v>Stockholm</v>
      </c>
      <c r="D9" t="b">
        <v>0</v>
      </c>
      <c r="E9" t="b">
        <v>0</v>
      </c>
      <c r="G9" t="b">
        <v>0</v>
      </c>
      <c r="H9" t="b">
        <v>0</v>
      </c>
      <c r="J9" t="str">
        <v>Did not find the adress!!!</v>
      </c>
    </row>
    <row r="10">
      <c r="A10" t="str">
        <v>career@mau.se</v>
      </c>
      <c r="B10" t="str">
        <v>Malmö University</v>
      </c>
      <c r="C10" t="str">
        <f>IFERROR(__xludf.DUMMYFUNCTION("AI(""The city of the university that is in the next row"")"),"Uppsala")</f>
        <v>Uppsala</v>
      </c>
      <c r="D10" t="b">
        <v>0</v>
      </c>
      <c r="E10" t="b">
        <v>1</v>
      </c>
      <c r="F10" t="str">
        <v>https://mau.jobteaser.com/en/recruiter-solutions</v>
      </c>
      <c r="G10" t="b">
        <v>0</v>
      </c>
      <c r="H10" t="b">
        <v>0</v>
      </c>
    </row>
    <row r="11">
      <c r="A11" t="str">
        <v>campusmassan@oru.se</v>
      </c>
      <c r="B11" t="str">
        <v>Örebro University</v>
      </c>
      <c r="C11" t="str">
        <f>IFERROR(__xludf.DUMMYFUNCTION("AI(""The city of the university that is in the next row"")"),"Örebro")</f>
        <v>Örebro</v>
      </c>
      <c r="D11" t="b">
        <v>0</v>
      </c>
      <c r="E11" t="b">
        <v>1</v>
      </c>
      <c r="F11" t="str">
        <v>https://www.oru.se/samverkan/samverka-med-studenter/platsbank-for-studenter/registrera-mig-som-annonsor/</v>
      </c>
      <c r="G11" t="b">
        <v>0</v>
      </c>
      <c r="H11" t="b">
        <v>0</v>
      </c>
    </row>
    <row r="12">
      <c r="A12" t="str">
        <v>careercenter@ju.se</v>
      </c>
      <c r="B12" t="str">
        <v>Jönköping University</v>
      </c>
      <c r="C12" t="str">
        <f>IFERROR(__xludf.DUMMYFUNCTION("AI(""The city of the university that is in the next row"")"),"Växjö and Kalmar")</f>
        <v>Växjö and Kalmar</v>
      </c>
      <c r="D12" t="b">
        <v>0</v>
      </c>
      <c r="E12" t="b">
        <v>0</v>
      </c>
      <c r="F12" t="str">
        <v>http://ju.se/advertise</v>
      </c>
      <c r="G12" t="b">
        <v>0</v>
      </c>
      <c r="H12" t="b">
        <v>0</v>
      </c>
    </row>
    <row r="13">
      <c r="A13" t="str">
        <v>emmelia.haglind@lnu.se</v>
      </c>
      <c r="B13" t="str">
        <v>Linnaeus University</v>
      </c>
      <c r="C13" t="str">
        <f>IFERROR(__xludf.DUMMYFUNCTION("AI(""The city of the university that is in the next row"")"),"Växjö and Kalmar")</f>
        <v>Växjö and Kalmar</v>
      </c>
      <c r="D13" t="b">
        <v>0</v>
      </c>
      <c r="E13" t="b">
        <v>0</v>
      </c>
      <c r="G13" t="b">
        <v>0</v>
      </c>
      <c r="H13" t="b">
        <v>0</v>
      </c>
    </row>
    <row r="14">
      <c r="A14" t="str">
        <v>rickard.lindberg@umu.se</v>
      </c>
      <c r="B14" t="str">
        <v>Umeå University</v>
      </c>
      <c r="C14" t="str">
        <f>IFERROR(__xludf.DUMMYFUNCTION("AI(""The city of the university that is in the next row"")"),"Karlstad")</f>
        <v>Karlstad</v>
      </c>
      <c r="D14" t="b">
        <v>0</v>
      </c>
      <c r="E14" t="b">
        <v>0</v>
      </c>
      <c r="G14" t="b">
        <v>0</v>
      </c>
      <c r="H14" t="b">
        <v>0</v>
      </c>
    </row>
    <row r="15">
      <c r="A15" t="str">
        <v>carina.baccman@kau.se</v>
      </c>
      <c r="B15" t="str">
        <v>Karlstad University</v>
      </c>
      <c r="C15" t="str">
        <f>IFERROR(__xludf.DUMMYFUNCTION("AI(""The city of the university that is in the next row"")"),"Karlstad")</f>
        <v>Karlstad</v>
      </c>
      <c r="D15" t="b">
        <v>0</v>
      </c>
      <c r="E15" t="b">
        <v>0</v>
      </c>
      <c r="G15" t="b">
        <v>0</v>
      </c>
      <c r="H15" t="b">
        <v>0</v>
      </c>
    </row>
    <row r="16">
      <c r="A16" t="str">
        <v>studievagledning@hh.se</v>
      </c>
      <c r="B16" t="str">
        <v>Halmstad University</v>
      </c>
      <c r="C16" t="str">
        <f>IFERROR(__xludf.DUMMYFUNCTION("AI(""The city of the university that is in the next row"")"),"Halmstad")</f>
        <v>Halmstad</v>
      </c>
      <c r="D16" t="b">
        <v>0</v>
      </c>
      <c r="E16" t="b">
        <v>0</v>
      </c>
      <c r="F16" t="str">
        <v>https://www.hh.se/samverkan/samverka-med-oss/samverka-med-studenter/annonsera-om-jobb-och-uppdrag-for-studenter.html</v>
      </c>
      <c r="G16" t="b">
        <v>0</v>
      </c>
      <c r="H16" t="b">
        <v>0</v>
      </c>
    </row>
    <row r="17">
      <c r="A17" t="str">
        <v>support@du.se</v>
      </c>
      <c r="B17" t="str">
        <v>Dalarna University</v>
      </c>
      <c r="C17" t="str">
        <f>IFERROR(__xludf.DUMMYFUNCTION("AI(""The city of the university that is in the next row"")"),"Falun and Borlänge")</f>
        <v>Falun and Borlänge</v>
      </c>
      <c r="D17" t="b">
        <v>0</v>
      </c>
      <c r="E17" t="b">
        <v>1</v>
      </c>
      <c r="G17" t="b">
        <v>0</v>
      </c>
      <c r="H17" t="b">
        <v>0</v>
      </c>
    </row>
    <row r="18">
      <c r="A18" t="str">
        <v>studier.karriar@sh.se</v>
      </c>
      <c r="B18" t="str">
        <v>Södertörn University</v>
      </c>
      <c r="C18" t="str">
        <f>IFERROR(__xludf.DUMMYFUNCTION("AI(""The city of the university that is in the next row"")"),"Sundsvall and Östersund")</f>
        <v>Sundsvall and Östersund</v>
      </c>
      <c r="D18" t="b">
        <v>0</v>
      </c>
      <c r="E18" t="b">
        <v>1</v>
      </c>
      <c r="F18" t="str">
        <v>https://shkarriar.jobteaser.com/en/recruiter-solutions</v>
      </c>
      <c r="G18" t="b">
        <v>0</v>
      </c>
      <c r="H18" t="b">
        <v>0</v>
      </c>
    </row>
    <row r="19">
      <c r="A19" t="str">
        <v>kontakt@miun.se</v>
      </c>
      <c r="B19" t="str">
        <v>Mid Sweden University</v>
      </c>
      <c r="C19" t="str">
        <f>IFERROR(__xludf.DUMMYFUNCTION("AI(""The city of the university that is in the next row"")"),"Västerås and Eskilstuna")</f>
        <v>Västerås and Eskilstuna</v>
      </c>
      <c r="D19" t="b">
        <v>0</v>
      </c>
      <c r="E19" t="b">
        <v>0</v>
      </c>
      <c r="G19" t="b">
        <v>0</v>
      </c>
      <c r="H19" t="b">
        <v>0</v>
      </c>
    </row>
    <row r="20">
      <c r="A20" t="str">
        <v>info@mdu.se</v>
      </c>
      <c r="B20" t="str">
        <v>Mälardalen University</v>
      </c>
      <c r="C20" t="str">
        <f>IFERROR(__xludf.DUMMYFUNCTION("AI(""The city of the university that is in the next row"")"),"Västerås and Eskilstuna")</f>
        <v>Västerås and Eskilstuna</v>
      </c>
      <c r="D20" t="b">
        <v>0</v>
      </c>
      <c r="E20" t="b">
        <v>0</v>
      </c>
      <c r="G20" t="b">
        <v>0</v>
      </c>
      <c r="H20" t="b">
        <v>0</v>
      </c>
      <c r="J20" t="str">
        <v>Did not find the adress!!!</v>
      </c>
    </row>
    <row r="21">
      <c r="A21" t="str">
        <v>info@hkr.se</v>
      </c>
      <c r="B21" t="str">
        <v>Kristianstad University</v>
      </c>
      <c r="C21" t="str">
        <f>IFERROR(__xludf.DUMMYFUNCTION("AI(""The city of the university that is in the next row"")"),"Kristianstad")</f>
        <v>Kristianstad</v>
      </c>
      <c r="D21" t="b">
        <v>0</v>
      </c>
      <c r="E21" t="b">
        <v>0</v>
      </c>
      <c r="G21" t="b">
        <v>0</v>
      </c>
      <c r="H21" t="b">
        <v>0</v>
      </c>
    </row>
    <row r="22">
      <c r="A22" t="str">
        <v>servicecenter@hv.se</v>
      </c>
      <c r="B22" t="str">
        <v>University West</v>
      </c>
      <c r="C22" t="str">
        <f>IFERROR(__xludf.DUMMYFUNCTION("AI(""The city of the university that is in the next row"")"),"Trollhättan")</f>
        <v>Trollhättan</v>
      </c>
      <c r="D22" t="b">
        <v>0</v>
      </c>
      <c r="E22" t="b">
        <v>0</v>
      </c>
      <c r="G22" t="b">
        <v>0</v>
      </c>
      <c r="H22" t="b">
        <v>0</v>
      </c>
    </row>
    <row r="23">
      <c r="C23" t="str">
        <f>IFERROR(__xludf.DUMMYFUNCTION("AI(""The city of the university that is in the next row"")"),"I do not have enough information to answer the query. I am missing the name of the university in the next row (row 24) to determine its city.")</f>
        <v>I do not have enough information to answer the query. I am missing the name of the university in the next row (row 24) to determine its city.</v>
      </c>
      <c r="D23" t="b">
        <v>0</v>
      </c>
      <c r="E23" t="b">
        <v>0</v>
      </c>
      <c r="G23" t="b">
        <v>0</v>
      </c>
      <c r="H23" t="b">
        <v>0</v>
      </c>
    </row>
    <row r="24">
      <c r="C24" t="str">
        <f>IFERROR(__xludf.DUMMYFUNCTION("AI(""The city of the university that is in the next row"")"),"I do not have enough information to answer the query. I am missing the university name in row 25 to determine its city.")</f>
        <v>I do not have enough information to answer the query. I am missing the university name in row 25 to determine its city.</v>
      </c>
      <c r="D24" t="b">
        <v>0</v>
      </c>
      <c r="E24" t="b">
        <v>0</v>
      </c>
      <c r="G24" t="b">
        <v>0</v>
      </c>
      <c r="H24" t="b">
        <v>0</v>
      </c>
    </row>
    <row r="25">
      <c r="C25" t="str">
        <f>IFERROR(__xludf.DUMMYFUNCTION("AI(""The city of the university that is in the next row"")"),"I do not have enough information to determine the city because the university name for the next row is missing from the spreadsheet context.")</f>
        <v>I do not have enough information to determine the city because the university name for the next row is missing from the spreadsheet context.</v>
      </c>
      <c r="D25" t="b">
        <v>0</v>
      </c>
      <c r="E25" t="b">
        <v>0</v>
      </c>
      <c r="G25" t="b">
        <v>0</v>
      </c>
      <c r="H25" t="b">
        <v>0</v>
      </c>
    </row>
    <row r="26">
      <c r="C26" t="str">
        <f>IFERROR(__xludf.DUMMYFUNCTION("AI(""The city of the university that is in the next row"")"),"I do not have enough information to answer the query because the next row in the spreadsheet does not contain a university name.")</f>
        <v>I do not have enough information to answer the query because the next row in the spreadsheet does not contain a university name.</v>
      </c>
      <c r="D26" t="b">
        <v>0</v>
      </c>
      <c r="E26" t="b">
        <v>0</v>
      </c>
      <c r="G26" t="b">
        <v>0</v>
      </c>
      <c r="H26" t="b">
        <v>0</v>
      </c>
    </row>
    <row r="27">
      <c r="C27" t="str">
        <f>IFERROR(__xludf.DUMMYFUNCTION("AI(""The city of the university that is in the next row"")"),"I do not have enough information to answer the query because the spreadsheet context does not contain data for the university in the next row (row 28).")</f>
        <v>I do not have enough information to answer the query because the spreadsheet context does not contain data for the university in the next row (row 28).</v>
      </c>
      <c r="D27" t="b">
        <v>0</v>
      </c>
      <c r="E27" t="b">
        <v>0</v>
      </c>
      <c r="G27" t="b">
        <v>0</v>
      </c>
      <c r="H27" t="b">
        <v>0</v>
      </c>
    </row>
  </sheetData>
  <hyperlinks>
    <hyperlink ref="F3" r:id="rId1"/>
    <hyperlink ref="F4" r:id="rId2"/>
    <hyperlink ref="F5" r:id="rId3"/>
    <hyperlink ref="F10" r:id="rId4"/>
    <hyperlink ref="F11" r:id="rId5"/>
    <hyperlink ref="F12" r:id="rId6"/>
    <hyperlink ref="F16" r:id="rId7"/>
    <hyperlink ref="F18" r:id="rId8"/>
  </hyperlinks>
  <ignoredErrors>
    <ignoredError numberStoredAsText="1" sqref="A1:J998"/>
  </ignoredErrors>
</worksheet>
</file>

<file path=xl/worksheets/sheet5.xml><?xml version="1.0" encoding="utf-8"?>
<worksheet xmlns="http://schemas.openxmlformats.org/spreadsheetml/2006/main" xmlns:r="http://schemas.openxmlformats.org/officeDocument/2006/relationships">
  <dimension ref="A1:J687"/>
  <sheetViews>
    <sheetView workbookViewId="0" rightToLeft="0"/>
  </sheetViews>
  <sheetData>
    <row r="1">
      <c r="A1" t="str">
        <v>EmailContact</v>
      </c>
      <c r="B1" t="str">
        <v>IrishUniversityName</v>
      </c>
      <c r="C1" t="str">
        <v>City</v>
      </c>
      <c r="D1" t="str">
        <v>Interested?</v>
      </c>
      <c r="E1" t="str">
        <v>Gereageerd?</v>
      </c>
      <c r="F1" t="str">
        <v>Link to career portal</v>
      </c>
      <c r="G1" t="str">
        <v>Career Portal Sign Up</v>
      </c>
      <c r="H1" t="str">
        <v>Job posted?</v>
      </c>
      <c r="I1" t="str">
        <v>Renewal Date</v>
      </c>
      <c r="J1" t="str">
        <v>Notes</v>
      </c>
    </row>
    <row r="2">
      <c r="A2" t="str">
        <v>employer.careers@tcd.ie</v>
      </c>
      <c r="B2" t="str">
        <v>Trinity College Dublin</v>
      </c>
      <c r="C2" t="str">
        <v>Dublin</v>
      </c>
      <c r="D2" t="b">
        <v>0</v>
      </c>
      <c r="E2" t="b">
        <v>0</v>
      </c>
      <c r="G2" t="b">
        <v>0</v>
      </c>
      <c r="H2" t="b">
        <v>0</v>
      </c>
      <c r="J2" t="str">
        <v>Only take paid internships</v>
      </c>
    </row>
    <row r="3">
      <c r="A3" t="str">
        <v>careers@ucd.ie</v>
      </c>
      <c r="B3" t="str">
        <v>University College Dublin</v>
      </c>
      <c r="C3" t="str">
        <v>Dublin</v>
      </c>
      <c r="D3" t="b">
        <v>0</v>
      </c>
      <c r="E3" t="b">
        <v>1</v>
      </c>
      <c r="F3" t="str">
        <v>https://ucd-ccm.careercentre.me/Account/Login.aspx</v>
      </c>
      <c r="G3" t="b">
        <v>0</v>
      </c>
      <c r="H3" t="b">
        <v>0</v>
      </c>
      <c r="J3" t="str">
        <v>Approved</v>
      </c>
    </row>
    <row r="4">
      <c r="A4" t="str">
        <v>intra@dcu.ie</v>
      </c>
      <c r="B4" t="str">
        <v>Dublin City University</v>
      </c>
      <c r="C4" t="str">
        <v>Dublin</v>
      </c>
      <c r="D4" t="b">
        <v>0</v>
      </c>
      <c r="E4" t="b">
        <v>0</v>
      </c>
      <c r="G4" t="b">
        <v>0</v>
      </c>
      <c r="H4" t="b">
        <v>0</v>
      </c>
    </row>
    <row r="5">
      <c r="A5" t="str">
        <v>employers@universityofgalway.ie</v>
      </c>
      <c r="B5" t="str">
        <v>University of Galway</v>
      </c>
      <c r="C5" t="str">
        <v>Galway</v>
      </c>
      <c r="D5" t="b">
        <v>0</v>
      </c>
      <c r="E5" t="b">
        <v>1</v>
      </c>
      <c r="F5" t="str">
        <v>https://careersconnect.universityofgalway.ie/unauth/employer/login</v>
      </c>
      <c r="G5" t="b">
        <v>1</v>
      </c>
      <c r="H5" t="b">
        <v>1</v>
      </c>
      <c r="I5">
        <v>46360</v>
      </c>
    </row>
    <row r="6">
      <c r="A6" t="str">
        <v>careers@ucc.ie</v>
      </c>
      <c r="B6" t="str">
        <v>University College Cork</v>
      </c>
      <c r="C6" t="str">
        <v>Cork</v>
      </c>
      <c r="D6" t="b">
        <v>1</v>
      </c>
      <c r="E6" t="b">
        <v>1</v>
      </c>
      <c r="G6" t="b">
        <v>1</v>
      </c>
      <c r="H6" t="b">
        <v>1</v>
      </c>
      <c r="I6">
        <v>46299</v>
      </c>
    </row>
    <row r="7">
      <c r="A7" t="str">
        <v>careers@ul.ie</v>
      </c>
      <c r="B7" t="str">
        <v>University of Limerick</v>
      </c>
      <c r="C7" t="str">
        <v>Limerick</v>
      </c>
      <c r="D7" t="b">
        <v>0</v>
      </c>
      <c r="E7" t="b">
        <v>0</v>
      </c>
      <c r="G7" t="b">
        <v>0</v>
      </c>
      <c r="H7" t="b">
        <v>0</v>
      </c>
      <c r="J7" t="str">
        <v>had een meeting met ons gewild maar niet echt doorgekomen</v>
      </c>
    </row>
    <row r="8">
      <c r="A8" t="str">
        <v>employers@mu.ie</v>
      </c>
      <c r="B8" t="str">
        <v>Maynooth University</v>
      </c>
      <c r="C8" t="str">
        <v>Maynooth</v>
      </c>
      <c r="D8" t="b">
        <v>0</v>
      </c>
      <c r="E8" t="b">
        <v>0</v>
      </c>
      <c r="G8" t="b">
        <v>0</v>
      </c>
      <c r="H8" t="b">
        <v>0</v>
      </c>
    </row>
    <row r="9">
      <c r="A9" t="str">
        <v>careers.city@tudublin.ie</v>
      </c>
      <c r="B9" t="str">
        <v>Technological University Dublin</v>
      </c>
      <c r="C9" t="str">
        <v>Dublin</v>
      </c>
      <c r="D9" t="b">
        <v>0</v>
      </c>
      <c r="E9" t="b">
        <v>1</v>
      </c>
      <c r="F9" t="str">
        <v>https://www.tudublin.ie/careersconnect</v>
      </c>
      <c r="G9" t="b">
        <v>0</v>
      </c>
      <c r="H9" t="b">
        <v>0</v>
      </c>
    </row>
    <row r="10">
      <c r="A10" t="str">
        <v>careerdevelopment@dbs.ie</v>
      </c>
      <c r="B10" t="str">
        <v>Dublin Business School</v>
      </c>
      <c r="C10" t="str">
        <v>Dublin</v>
      </c>
      <c r="D10" t="b">
        <v>0</v>
      </c>
      <c r="E10" t="b">
        <v>0</v>
      </c>
      <c r="G10" t="b">
        <v>0</v>
      </c>
      <c r="H10" t="b">
        <v>0</v>
      </c>
    </row>
    <row r="11">
      <c r="A11" t="str">
        <v>international@griffith.ie</v>
      </c>
      <c r="B11" t="str">
        <v>Griffith College</v>
      </c>
      <c r="C11" t="str">
        <v>Dublin</v>
      </c>
      <c r="D11" t="b">
        <v>0</v>
      </c>
      <c r="E11" t="b">
        <v>0</v>
      </c>
      <c r="G11" t="b">
        <v>0</v>
      </c>
      <c r="H11" t="b">
        <v>0</v>
      </c>
    </row>
    <row r="12">
      <c r="A12" t="str">
        <v>ncicareersteam@ncirl.ie</v>
      </c>
      <c r="B12" t="str">
        <v>National College of Ireland</v>
      </c>
      <c r="C12" t="str">
        <v>Dublin</v>
      </c>
      <c r="D12" t="b">
        <v>0</v>
      </c>
      <c r="E12" t="b">
        <v>0</v>
      </c>
      <c r="G12" t="b">
        <v>0</v>
      </c>
      <c r="H12" t="b">
        <v>0</v>
      </c>
    </row>
    <row r="13">
      <c r="A13" t="str">
        <v>deborah.seddon@atu.ie</v>
      </c>
      <c r="B13" t="str">
        <v>Atlantic Technological University</v>
      </c>
      <c r="C13" t="str">
        <v>Galway</v>
      </c>
      <c r="D13" t="b">
        <v>0</v>
      </c>
      <c r="E13" t="b">
        <v>1</v>
      </c>
      <c r="G13" t="b">
        <v>0</v>
      </c>
      <c r="H13" t="b">
        <v>0</v>
      </c>
      <c r="J13" t="str">
        <v>Terug mailen!!!</v>
      </c>
    </row>
  </sheetData>
  <hyperlinks>
    <hyperlink ref="F3" r:id="rId1"/>
    <hyperlink ref="F5" r:id="rId2"/>
    <hyperlink ref="F9" r:id="rId3"/>
  </hyperlinks>
  <ignoredErrors>
    <ignoredError numberStoredAsText="1" sqref="A1:J687"/>
  </ignoredErrors>
</worksheet>
</file>

<file path=xl/worksheets/sheet6.xml><?xml version="1.0" encoding="utf-8"?>
<worksheet xmlns="http://schemas.openxmlformats.org/spreadsheetml/2006/main" xmlns:r="http://schemas.openxmlformats.org/officeDocument/2006/relationships">
  <dimension ref="A1:J299"/>
  <sheetViews>
    <sheetView workbookViewId="0" rightToLeft="0"/>
  </sheetViews>
  <sheetData>
    <row r="1">
      <c r="A1" t="str">
        <v>NOREmailContact</v>
      </c>
      <c r="B1" t="str">
        <v>NORUniversityName</v>
      </c>
      <c r="C1" t="str">
        <v>City</v>
      </c>
      <c r="D1" t="str">
        <v>Interested?</v>
      </c>
      <c r="E1" t="str">
        <v>Gereageerd?</v>
      </c>
      <c r="F1" t="str">
        <v>Link to career portal</v>
      </c>
      <c r="G1" t="str">
        <v>Career Portal Sign Up</v>
      </c>
      <c r="H1" t="str">
        <v>Job posted</v>
      </c>
      <c r="I1" t="str">
        <v>Renewal Date</v>
      </c>
      <c r="J1" t="str">
        <v>Notes</v>
      </c>
    </row>
    <row r="2">
      <c r="A2" t="str">
        <v>karriereportalen@bi.no</v>
      </c>
      <c r="B2" t="str">
        <v>BI Norwegian Business School</v>
      </c>
      <c r="D2" t="b">
        <v>0</v>
      </c>
      <c r="E2" t="b">
        <v>1</v>
      </c>
      <c r="G2" t="b">
        <v>0</v>
      </c>
      <c r="H2" t="b">
        <v>0</v>
      </c>
    </row>
    <row r="3">
      <c r="A3" t="str">
        <v>career-centre@nhh.no</v>
      </c>
      <c r="B3" t="str">
        <v>Norwegian School of Economics</v>
      </c>
      <c r="C3" t="str">
        <f>IFERROR(__xludf.DUMMYFUNCTION("AI(""The city of the university that is in the next row"")"),"Bergen")</f>
        <v>Bergen</v>
      </c>
      <c r="D3" t="b">
        <v>0</v>
      </c>
      <c r="E3" t="b">
        <v>0</v>
      </c>
      <c r="G3" t="b">
        <v>0</v>
      </c>
      <c r="H3" t="b">
        <v>0</v>
      </c>
    </row>
    <row r="4">
      <c r="A4" t="str">
        <v>karrieretjenester@admin.uio.no</v>
      </c>
      <c r="B4" t="str">
        <v>University of Oslo</v>
      </c>
      <c r="C4" t="str">
        <f>IFERROR(__xludf.DUMMYFUNCTION("AI(""The city of the university that is in the next row"")"),"Trondheim, Gjovik, and Alesund")</f>
        <v>Trondheim, Gjovik, and Alesund</v>
      </c>
      <c r="D4" t="b">
        <v>0</v>
      </c>
      <c r="E4" t="b">
        <v>1</v>
      </c>
      <c r="G4" t="b">
        <v>0</v>
      </c>
      <c r="H4" t="b">
        <v>0</v>
      </c>
    </row>
    <row r="5">
      <c r="A5" t="str">
        <v>kontakt@bridge.ntnu.no</v>
      </c>
      <c r="B5" t="str">
        <v>Norwegian University of Science and Technology</v>
      </c>
      <c r="C5" t="str">
        <f>IFERROR(__xludf.DUMMYFUNCTION("AI(""The city of the university that is in the next row"")"),"Trondheim, Gjovik, and Alesund")</f>
        <v>Trondheim, Gjovik, and Alesund</v>
      </c>
      <c r="D5" t="b">
        <v>0</v>
      </c>
      <c r="E5" t="b">
        <v>0</v>
      </c>
      <c r="G5" t="b">
        <v>0</v>
      </c>
      <c r="H5" t="b">
        <v>0</v>
      </c>
      <c r="J5" t="str">
        <v>Adress niet gevonden</v>
      </c>
    </row>
    <row r="6">
      <c r="A6" t="str">
        <v>karriere@sammen.no</v>
      </c>
      <c r="B6" t="str">
        <v>University of Bergen</v>
      </c>
      <c r="C6" t="str">
        <f>IFERROR(__xludf.DUMMYFUNCTION("AI(""The city of the university that is in the next row"")"),"Bergen")</f>
        <v>Bergen</v>
      </c>
      <c r="D6" t="b">
        <v>0</v>
      </c>
      <c r="E6" t="b">
        <v>0</v>
      </c>
      <c r="G6" t="b">
        <v>0</v>
      </c>
      <c r="H6" t="b">
        <v>0</v>
      </c>
    </row>
    <row r="7">
      <c r="A7" t="str">
        <v>samfunnskontakt@uit.no</v>
      </c>
      <c r="B7" t="str">
        <v>UiT The Arctic University of Norway</v>
      </c>
      <c r="C7" t="str">
        <f>IFERROR(__xludf.DUMMYFUNCTION("AI(""The city of the university that is in the next row"")"),"Tromsø")</f>
        <v>Tromsø</v>
      </c>
      <c r="D7" t="b">
        <v>0</v>
      </c>
      <c r="E7" t="b">
        <v>0</v>
      </c>
      <c r="G7" t="b">
        <v>0</v>
      </c>
      <c r="H7" t="b">
        <v>0</v>
      </c>
      <c r="J7" t="str">
        <v>Only take paid internships</v>
      </c>
    </row>
    <row r="8">
      <c r="A8" t="str">
        <v>karriere@oslomet.no</v>
      </c>
      <c r="B8" t="str">
        <v>OsloMet</v>
      </c>
      <c r="C8" t="str">
        <f>IFERROR(__xludf.DUMMYFUNCTION("AI(""The city of the university that is in the next row"")"),"Oslo")</f>
        <v>Oslo</v>
      </c>
      <c r="D8" t="b">
        <v>0</v>
      </c>
      <c r="E8" t="b">
        <v>0</v>
      </c>
      <c r="G8" t="b">
        <v>0</v>
      </c>
      <c r="H8" t="b">
        <v>0</v>
      </c>
    </row>
    <row r="9">
      <c r="A9" t="str">
        <v>karriereveiledning@uis.no</v>
      </c>
      <c r="B9" t="str">
        <v>University of Stavanger</v>
      </c>
      <c r="C9" t="str">
        <f>IFERROR(__xludf.DUMMYFUNCTION("AI(""The city of the university that is in the next row"")"),"Stavanger")</f>
        <v>Stavanger</v>
      </c>
      <c r="D9" t="b">
        <v>0</v>
      </c>
      <c r="E9" t="b">
        <v>0</v>
      </c>
      <c r="G9" t="b">
        <v>0</v>
      </c>
      <c r="H9" t="b">
        <v>0</v>
      </c>
    </row>
    <row r="10">
      <c r="A10" t="str">
        <v>karriere@uia.no</v>
      </c>
      <c r="B10" t="str">
        <v>University of Agder</v>
      </c>
      <c r="C10" t="str">
        <f>IFERROR(__xludf.DUMMYFUNCTION("AI(""The city of the university that is in the next row"")"),"Kristiansand and Grimstad")</f>
        <v>Kristiansand and Grimstad</v>
      </c>
      <c r="D10" t="b">
        <v>0</v>
      </c>
      <c r="E10" t="b">
        <v>1</v>
      </c>
      <c r="G10" t="b">
        <v>0</v>
      </c>
      <c r="H10" t="b">
        <v>0</v>
      </c>
    </row>
    <row r="11">
      <c r="A11" t="str">
        <v>postmottak@nord.no</v>
      </c>
      <c r="B11" t="str">
        <v>Nord University</v>
      </c>
      <c r="C11" t="str">
        <f>IFERROR(__xludf.DUMMYFUNCTION("AI(""The city of the university that is in the next row"")"),"Bodø")</f>
        <v>Bodø</v>
      </c>
      <c r="D11" t="b">
        <v>0</v>
      </c>
      <c r="E11" t="b">
        <v>0</v>
      </c>
      <c r="G11" t="b">
        <v>0</v>
      </c>
      <c r="H11" t="b">
        <v>0</v>
      </c>
    </row>
    <row r="12">
      <c r="A12" t="str">
        <v>studieveileder-hh@nmbu.no</v>
      </c>
      <c r="B12" t="str">
        <v>Norwegian University of Life Sciences</v>
      </c>
      <c r="C12" t="str">
        <f>IFERROR(__xludf.DUMMYFUNCTION("AI(""The city of the university that is in the next row"")"),"Ås")</f>
        <v>Ås</v>
      </c>
      <c r="D12" t="b">
        <v>0</v>
      </c>
      <c r="E12" t="b">
        <v>1</v>
      </c>
      <c r="G12" t="b">
        <v>0</v>
      </c>
      <c r="H12" t="b">
        <v>0</v>
      </c>
      <c r="J12" t="str">
        <v>Adres vlgnsmij niet gevonden</v>
      </c>
    </row>
    <row r="13">
      <c r="A13" t="str">
        <v>studier@kristiania.no</v>
      </c>
      <c r="B13" t="str">
        <v>Kristiania University College</v>
      </c>
      <c r="C13" t="str">
        <f>IFERROR(__xludf.DUMMYFUNCTION("AI(""The city of the university that is in the next row"")"),"Bergen, Forde, Haugesund, Sogndal, and Stord")</f>
        <v>Bergen, Forde, Haugesund, Sogndal, and Stord</v>
      </c>
      <c r="D13" t="b">
        <v>0</v>
      </c>
      <c r="E13" t="b">
        <v>1</v>
      </c>
      <c r="G13" t="b">
        <v>0</v>
      </c>
      <c r="H13" t="b">
        <v>0</v>
      </c>
    </row>
    <row r="14">
      <c r="A14" t="str">
        <v>postmottak@inn.no</v>
      </c>
      <c r="B14" t="str">
        <v>Inland Norway University of Applied Sciences</v>
      </c>
      <c r="C14" t="str">
        <f>IFERROR(__xludf.DUMMYFUNCTION("AI(""The city of the university that is in the next row"")"),"Blæstad, Elverum, Evenstad, Hamar, Lillehammer, and Rena")</f>
        <v>Blæstad, Elverum, Evenstad, Hamar, Lillehammer, and Rena</v>
      </c>
      <c r="D14" t="b">
        <v>0</v>
      </c>
      <c r="E14" t="b">
        <v>0</v>
      </c>
    </row>
    <row r="15">
      <c r="A15" t="str">
        <v>karriere@usn.no</v>
      </c>
      <c r="B15" t="str">
        <v>University of South-Eastern Norway</v>
      </c>
      <c r="C15" t="str">
        <f>IFERROR(__xludf.DUMMYFUNCTION("AI(""The city of the university that is in the next row"")"),"Bø, Drammen, Horten, Kongsberg, Notodden, Porsgrunn, Ringerike, and Rauland")</f>
        <v>Bø, Drammen, Horten, Kongsberg, Notodden, Porsgrunn, Ringerike, and Rauland</v>
      </c>
      <c r="D15" t="b">
        <v>0</v>
      </c>
      <c r="E15" t="b">
        <v>0</v>
      </c>
    </row>
    <row r="45">
      <c r="C45" t="str">
        <f>C46</f>
        <v/>
      </c>
    </row>
    <row r="240">
      <c r="C240" t="str">
        <f>C241</f>
        <v/>
      </c>
    </row>
    <row r="241">
      <c r="C241" t="str">
        <f>C242</f>
        <v/>
      </c>
    </row>
    <row r="242">
      <c r="C242" t="str">
        <f>C243</f>
        <v/>
      </c>
    </row>
    <row r="243">
      <c r="C243" t="str">
        <f>C244</f>
        <v/>
      </c>
    </row>
    <row r="244">
      <c r="C244" t="str">
        <f>C245</f>
        <v/>
      </c>
    </row>
    <row r="245">
      <c r="C245" t="str">
        <f>C246</f>
        <v/>
      </c>
    </row>
    <row r="246">
      <c r="C246" t="str">
        <f>C247</f>
        <v/>
      </c>
    </row>
    <row r="247">
      <c r="C247" t="str">
        <f>C248</f>
        <v/>
      </c>
    </row>
    <row r="295">
      <c r="C295" t="str">
        <f>C296</f>
        <v/>
      </c>
    </row>
    <row r="296">
      <c r="C296" t="str">
        <f>C297</f>
        <v/>
      </c>
    </row>
    <row r="297">
      <c r="C297" t="str">
        <f>C298</f>
        <v/>
      </c>
    </row>
    <row r="298">
      <c r="C298" t="str">
        <f>C299</f>
        <v/>
      </c>
    </row>
    <row r="299">
      <c r="C299" t="str">
        <f>C300</f>
        <v/>
      </c>
    </row>
  </sheetData>
  <ignoredErrors>
    <ignoredError numberStoredAsText="1" sqref="A1:J299"/>
  </ignoredErrors>
</worksheet>
</file>

<file path=xl/worksheets/sheet7.xml><?xml version="1.0" encoding="utf-8"?>
<worksheet xmlns="http://schemas.openxmlformats.org/spreadsheetml/2006/main" xmlns:r="http://schemas.openxmlformats.org/officeDocument/2006/relationships">
  <dimension ref="A1:J687"/>
  <sheetViews>
    <sheetView workbookViewId="0" rightToLeft="0"/>
  </sheetViews>
  <sheetData>
    <row r="1">
      <c r="A1" t="str">
        <v>UKEmailContact</v>
      </c>
      <c r="B1" t="str">
        <v>UKUniversityName</v>
      </c>
      <c r="C1" t="str">
        <v>City</v>
      </c>
      <c r="D1" t="str">
        <v>Interested?</v>
      </c>
      <c r="E1" t="str">
        <v>Gereageerd?</v>
      </c>
      <c r="F1" t="str">
        <v>Link to career portal</v>
      </c>
      <c r="G1" t="str">
        <v>Career Portal Sign Up</v>
      </c>
      <c r="H1" t="str">
        <v>Job posted?</v>
      </c>
      <c r="I1" t="str">
        <v>Renewal Date</v>
      </c>
      <c r="J1" t="str">
        <v>Notes</v>
      </c>
    </row>
    <row r="2">
      <c r="A2" t="str">
        <v>summer-internships@careers.ox.ac.uk</v>
      </c>
      <c r="B2" t="str">
        <v>University of Oxford</v>
      </c>
      <c r="C2" t="str">
        <v>Oxford</v>
      </c>
      <c r="D2" t="b">
        <v>0</v>
      </c>
      <c r="E2" t="b">
        <v>0</v>
      </c>
      <c r="G2" t="b">
        <v>0</v>
      </c>
      <c r="H2" t="b">
        <v>0</v>
      </c>
      <c r="J2" t="str">
        <v>doen alleen stages van 2 tot 12 weken dus wat mij betreft niet doen</v>
      </c>
    </row>
    <row r="3">
      <c r="A3" t="str">
        <v>employers@careers.cam.ac.uk</v>
      </c>
      <c r="B3" t="str">
        <v>University of Cambridge</v>
      </c>
      <c r="C3" t="str">
        <v>Cambridge</v>
      </c>
      <c r="D3" t="b">
        <v>0</v>
      </c>
      <c r="E3" t="b">
        <v>0</v>
      </c>
      <c r="F3" t="str">
        <v>https://app.joinhandshake.com/employer_registrations/new</v>
      </c>
      <c r="G3" t="b">
        <v>0</v>
      </c>
      <c r="H3" t="b">
        <v>0</v>
      </c>
    </row>
    <row r="4">
      <c r="A4" t="str">
        <v>employers@london.edu</v>
      </c>
      <c r="B4" t="str">
        <v>London Business School</v>
      </c>
      <c r="C4" t="str">
        <v>London</v>
      </c>
      <c r="D4" t="b">
        <v>0</v>
      </c>
      <c r="E4" t="b">
        <v>0</v>
      </c>
      <c r="G4" t="b">
        <v>0</v>
      </c>
      <c r="H4" t="b">
        <v>0</v>
      </c>
      <c r="J4" t="str">
        <v>vragen aan brody of ze nog gebeld hebben</v>
      </c>
    </row>
    <row r="5">
      <c r="A5" t="str">
        <v>t.emmerson@imperial.ac.uk</v>
      </c>
      <c r="B5" t="str">
        <v>Imperial College London</v>
      </c>
      <c r="C5" t="str">
        <v>London</v>
      </c>
      <c r="D5" t="b">
        <v>0</v>
      </c>
      <c r="E5" t="b">
        <v>0</v>
      </c>
      <c r="G5" t="b">
        <v>0</v>
      </c>
      <c r="H5" t="b">
        <v>0</v>
      </c>
      <c r="J5" t="str">
        <v>functiebeschrijving en een salarisindicatie emailen</v>
      </c>
    </row>
    <row r="6">
      <c r="A6" t="str">
        <v>careers.internships@lse.ac.uk</v>
      </c>
      <c r="B6" t="str">
        <v>London School of Economics and Political Science</v>
      </c>
      <c r="C6" t="str">
        <v>London</v>
      </c>
      <c r="D6" t="b">
        <v>0</v>
      </c>
      <c r="E6" t="b">
        <v>0</v>
      </c>
      <c r="F6" t="str">
        <v>https://careers.lse.ac.uk/employer/home.html?service=Careers+Service</v>
      </c>
      <c r="G6" t="b">
        <v>1</v>
      </c>
      <c r="H6" t="b">
        <v>1</v>
      </c>
      <c r="I6">
        <v>46300</v>
      </c>
    </row>
    <row r="7">
      <c r="A7" t="str">
        <v>employers@ucl.ac.uk</v>
      </c>
      <c r="B7" t="str">
        <v>University College London</v>
      </c>
      <c r="C7" t="str">
        <v>London</v>
      </c>
      <c r="D7" t="b">
        <v>0</v>
      </c>
      <c r="E7" t="b">
        <v>1</v>
      </c>
      <c r="G7" t="b">
        <v>0</v>
      </c>
      <c r="H7" t="b">
        <v>0</v>
      </c>
    </row>
    <row r="8">
      <c r="A8" t="str">
        <v>employers@kcl.ac.uk</v>
      </c>
      <c r="B8" t="str">
        <v>King’s College London</v>
      </c>
      <c r="C8" t="str">
        <v>London</v>
      </c>
      <c r="D8" t="b">
        <v>0</v>
      </c>
      <c r="E8" t="b">
        <v>0</v>
      </c>
      <c r="G8" t="b">
        <v>0</v>
      </c>
      <c r="H8" t="b">
        <v>0</v>
      </c>
    </row>
    <row r="9">
      <c r="A9" t="str">
        <v>recruitment@manchester.ac.uk</v>
      </c>
      <c r="B9" t="str">
        <v>University of Manchester</v>
      </c>
      <c r="C9" t="str">
        <v>Manchester</v>
      </c>
      <c r="D9" t="b">
        <v>0</v>
      </c>
      <c r="E9" t="b">
        <v>1</v>
      </c>
      <c r="G9" t="b">
        <v>0</v>
      </c>
      <c r="H9" t="b">
        <v>0</v>
      </c>
      <c r="J9" t="str">
        <v xml:space="preserve">not interested </v>
      </c>
    </row>
    <row r="10">
      <c r="A10" t="str">
        <v>careers-sme-engagement@bristol.ac.uk</v>
      </c>
      <c r="B10" t="str">
        <v>University of Bristol</v>
      </c>
      <c r="C10" t="str">
        <v>Bristol</v>
      </c>
      <c r="D10" t="b">
        <v>0</v>
      </c>
      <c r="E10" t="b">
        <v>0</v>
      </c>
      <c r="G10" t="b">
        <v>0</v>
      </c>
      <c r="H10" t="b">
        <v>0</v>
      </c>
      <c r="J10" t="str">
        <v>heeft alleen gevraagd wat we betalen, heb geantwoord. nu even afwachten</v>
      </c>
    </row>
    <row r="11">
      <c r="A11" t="str">
        <v>EmployerRelations@wbs.ac.uk</v>
      </c>
      <c r="B11" t="str">
        <v>University of Warwick</v>
      </c>
      <c r="C11" t="str">
        <v>Warwick</v>
      </c>
      <c r="D11" t="b">
        <v>0</v>
      </c>
      <c r="E11" t="b">
        <v>0</v>
      </c>
      <c r="G11" t="b">
        <v>0</v>
      </c>
      <c r="H11" t="b">
        <v>0</v>
      </c>
      <c r="J11" t="str">
        <v xml:space="preserve">not interested </v>
      </c>
    </row>
    <row r="12">
      <c r="A12" t="str">
        <v>employers@ed.ac.uk</v>
      </c>
      <c r="B12" t="str">
        <v>University of Edinburgh</v>
      </c>
      <c r="C12" t="str">
        <v>Edinburgh</v>
      </c>
      <c r="D12" t="b">
        <v>0</v>
      </c>
      <c r="E12" t="b">
        <v>0</v>
      </c>
      <c r="F12" t="str">
        <v>https://employers.hub.ed.ac.uk/content/advertise+with+us</v>
      </c>
      <c r="G12" t="b">
        <v>0</v>
      </c>
      <c r="H12" t="b">
        <v>0</v>
      </c>
      <c r="J12" t="str">
        <v>alleen betaald</v>
      </c>
    </row>
    <row r="13">
      <c r="A13" t="str">
        <v>careerzone@uel.ac.uk</v>
      </c>
      <c r="B13" t="str">
        <v>University of East London</v>
      </c>
      <c r="C13" t="str">
        <v>London</v>
      </c>
      <c r="D13" t="b">
        <v>0</v>
      </c>
      <c r="E13" t="b">
        <v>0</v>
      </c>
      <c r="G13" t="b">
        <v>0</v>
      </c>
      <c r="H13" t="b">
        <v>0</v>
      </c>
    </row>
    <row r="14">
      <c r="A14" t="str">
        <v>employers@surrey.ac.uk</v>
      </c>
      <c r="B14" t="str">
        <v>University of Surrey</v>
      </c>
      <c r="C14" t="str">
        <v>Surrey</v>
      </c>
      <c r="D14" t="b">
        <v>0</v>
      </c>
      <c r="E14" t="b">
        <v>0</v>
      </c>
      <c r="G14" t="b">
        <v>0</v>
      </c>
      <c r="H14" t="b">
        <v>0</v>
      </c>
    </row>
    <row r="15">
      <c r="A15" t="str">
        <v>employers@brookes.ac.uk</v>
      </c>
      <c r="B15" t="str">
        <v>Oxford Brookes University</v>
      </c>
      <c r="C15" t="str">
        <v>Oxford</v>
      </c>
      <c r="D15" t="b">
        <v>0</v>
      </c>
      <c r="E15" t="b">
        <v>0</v>
      </c>
      <c r="F15" t="str">
        <v>https://brookes.jobteaser.com/en/recruiter-solutions</v>
      </c>
      <c r="G15" t="b">
        <v>0</v>
      </c>
      <c r="H15" t="b">
        <v>0</v>
      </c>
    </row>
    <row r="16">
      <c r="A16" t="str">
        <v>careers@regents.ac.uk</v>
      </c>
      <c r="B16" t="str">
        <v>Regent’s University London</v>
      </c>
      <c r="C16" t="str">
        <v>London</v>
      </c>
      <c r="D16" t="b">
        <v>0</v>
      </c>
      <c r="E16" t="b">
        <v>0</v>
      </c>
      <c r="F16" t="str">
        <v>https://regents-csm.symplicity.com/</v>
      </c>
      <c r="G16" t="b">
        <v>0</v>
      </c>
      <c r="H16" t="b">
        <v>0</v>
      </c>
    </row>
    <row r="17">
      <c r="A17" t="str">
        <v>employers@chester.ac.uk</v>
      </c>
      <c r="B17" t="str">
        <v>University of Chester</v>
      </c>
      <c r="C17" t="str">
        <v>Chester</v>
      </c>
      <c r="D17" t="b">
        <v>0</v>
      </c>
      <c r="E17" t="b">
        <v>0</v>
      </c>
      <c r="F17" t="str">
        <v>https://employers.careers.chester.ac.uk/content/vacancy+advertising</v>
      </c>
      <c r="G17" t="b">
        <v>0</v>
      </c>
      <c r="H17" t="b">
        <v>0</v>
      </c>
      <c r="J17" t="str">
        <v>effe hun voorwaarden doornemen</v>
      </c>
    </row>
    <row r="18">
      <c r="A18" t="str">
        <v>employerteam@leeds.ac.uk</v>
      </c>
      <c r="B18" t="str">
        <v>University of Leeds</v>
      </c>
      <c r="C18" t="str">
        <v>Leeds</v>
      </c>
      <c r="D18" t="b">
        <v>0</v>
      </c>
      <c r="E18" t="b">
        <v>0</v>
      </c>
      <c r="F18" t="str">
        <v>https://mycareer.leeds.ac.uk/unauthorisedEmployer/register.html?execution=e1s1</v>
      </c>
      <c r="G18" t="b">
        <v>0</v>
      </c>
      <c r="H18" t="b">
        <v>0</v>
      </c>
      <c r="J18" t="str">
        <v>https://www.leeds.ac.uk/working-with-business/doc/university-leeds-vacancy-advertising-policy door lezen van te voren is hun vacaturen beleid</v>
      </c>
    </row>
    <row r="19">
      <c r="A19" t="str">
        <v>careers-employers@york.ac.uk</v>
      </c>
      <c r="B19" t="str">
        <v>University of York</v>
      </c>
      <c r="C19" t="str">
        <v>York</v>
      </c>
      <c r="D19" t="b">
        <v>0</v>
      </c>
      <c r="E19" t="b">
        <v>0</v>
      </c>
      <c r="F19" t="str">
        <v>https://www.york.ac.uk/business/students/advertise-opportunities/</v>
      </c>
      <c r="G19" t="b">
        <v>0</v>
      </c>
      <c r="H19" t="b">
        <v>0</v>
      </c>
      <c r="J19" t="str">
        <v xml:space="preserve">moeten voor handshake registreren, doe ik nog </v>
      </c>
    </row>
    <row r="20">
      <c r="A20" t="str">
        <v>careers-team@nottingham.ac.uk</v>
      </c>
      <c r="B20" t="str">
        <v>University of Nottingham</v>
      </c>
      <c r="C20" t="str">
        <v>Nottingham</v>
      </c>
      <c r="D20" t="b">
        <v>0</v>
      </c>
      <c r="E20" t="b">
        <v>0</v>
      </c>
      <c r="F20" t="str">
        <v>https://employers.studentlife.nottingham.ac.uk/</v>
      </c>
      <c r="G20" t="b">
        <v>0</v>
      </c>
      <c r="H20" t="b">
        <v>0</v>
      </c>
      <c r="J20" t="str">
        <v>Moet nog een email krijgen om onze email te verivieren kon hem namelijk niet vinden</v>
      </c>
    </row>
    <row r="21">
      <c r="A21" t="str">
        <v>employability@lsbu.ac.uk</v>
      </c>
      <c r="B21" t="str">
        <v>London South Bank University</v>
      </c>
      <c r="C21" t="str">
        <f>IFERROR(__xludf.DUMMYFUNCTION("AI(""The city of the university that is in the next row"")"),"London")</f>
        <v>London</v>
      </c>
      <c r="D21" t="b">
        <v>0</v>
      </c>
      <c r="E21" t="b">
        <v>0</v>
      </c>
      <c r="G21" t="b">
        <v>0</v>
      </c>
      <c r="H21" t="b">
        <v>0</v>
      </c>
    </row>
    <row r="22">
      <c r="A22" t="str">
        <v>employability@gre.ac.uk</v>
      </c>
      <c r="B22" t="str">
        <v>University of Greenwich</v>
      </c>
      <c r="C22" t="str">
        <f>IFERROR(__xludf.DUMMYFUNCTION("AI(""The city of the university that is in the next row"")"),"London")</f>
        <v>London</v>
      </c>
      <c r="D22" t="b">
        <v>0</v>
      </c>
      <c r="E22" t="b">
        <v>0</v>
      </c>
      <c r="G22" t="b">
        <v>0</v>
      </c>
      <c r="H22" t="b">
        <v>0</v>
      </c>
    </row>
    <row r="23">
      <c r="A23" t="str">
        <v>m.t.cook@kent.ac.uk</v>
      </c>
      <c r="B23" t="str">
        <v>University of Kent</v>
      </c>
      <c r="C23" t="str">
        <f>IFERROR(__xludf.DUMMYFUNCTION("AI(""The city of the university that is in the next row"")"),"Manchester")</f>
        <v>Manchester</v>
      </c>
      <c r="D23" t="b">
        <v>0</v>
      </c>
      <c r="E23" t="b">
        <v>0</v>
      </c>
      <c r="G23" t="b">
        <v>0</v>
      </c>
      <c r="H23" t="b">
        <v>0</v>
      </c>
      <c r="J23" t="str">
        <v>Only take paid internships</v>
      </c>
    </row>
    <row r="24">
      <c r="A24" t="str">
        <v>talent@mmu.ac.uk</v>
      </c>
      <c r="B24" t="str">
        <v>Manchester Metropolitan University</v>
      </c>
      <c r="C24" t="str">
        <f>IFERROR(__xludf.DUMMYFUNCTION("AI(""The city of the university that is in the next row"")"),"Manchester")</f>
        <v>Manchester</v>
      </c>
      <c r="D24" t="b">
        <v>1</v>
      </c>
      <c r="E24" t="b">
        <v>0</v>
      </c>
      <c r="G24" t="b">
        <v>0</v>
      </c>
      <c r="H24" t="b">
        <v>0</v>
      </c>
      <c r="J24" t="str">
        <v>moeten hun een jobdiscription sturen</v>
      </c>
    </row>
    <row r="25">
      <c r="A25" t="str">
        <v>lums@lancaster.ac.uk</v>
      </c>
      <c r="B25" t="str">
        <v>Lancaster University</v>
      </c>
      <c r="C25" t="str">
        <f>IFERROR(__xludf.DUMMYFUNCTION("AI(""The city of the university that is in the next row"")"),"Southampton")</f>
        <v>Southampton</v>
      </c>
      <c r="D25" t="b">
        <v>1</v>
      </c>
      <c r="E25" t="b">
        <v>0</v>
      </c>
      <c r="G25" t="b">
        <v>0</v>
      </c>
      <c r="H25" t="b">
        <v>0</v>
      </c>
      <c r="J25" t="str">
        <v>moeten hun een jobdiscription sturen</v>
      </c>
    </row>
    <row r="26">
      <c r="A26" t="str">
        <v>employ@southampton.ac.uk</v>
      </c>
      <c r="B26" t="str">
        <v>University of Southampton</v>
      </c>
      <c r="C26" t="str">
        <f>IFERROR(__xludf.DUMMYFUNCTION("AI(""The city of the university that is in the next row"")"),"Aberdeen")</f>
        <v>Aberdeen</v>
      </c>
      <c r="D26" t="b">
        <v>0</v>
      </c>
      <c r="E26" t="b">
        <v>0</v>
      </c>
      <c r="F26" t="str">
        <v>https://www.southampton.ac.uk/careers/employers/advertise-your-vacancies.page?</v>
      </c>
      <c r="G26" t="b">
        <v>0</v>
      </c>
      <c r="H26" t="b">
        <v>0</v>
      </c>
    </row>
    <row r="27">
      <c r="A27" t="str">
        <v>employers@abdn.ac.uk</v>
      </c>
      <c r="B27" t="str">
        <v>University of Aberdeen</v>
      </c>
      <c r="C27" t="str">
        <f>IFERROR(__xludf.DUMMYFUNCTION("AI(""The city of the university that is in the next row"")"),"Glasgow")</f>
        <v>Glasgow</v>
      </c>
      <c r="D27" t="b">
        <v>0</v>
      </c>
      <c r="E27" t="b">
        <v>0</v>
      </c>
      <c r="G27" t="b">
        <v>0</v>
      </c>
      <c r="H27" t="b">
        <v>0</v>
      </c>
      <c r="J27" t="str">
        <v>Only take paid internships</v>
      </c>
    </row>
    <row r="28">
      <c r="A28" t="str">
        <v>employers@glasgow.ac.uk</v>
      </c>
      <c r="B28" t="str">
        <v>University of Glasgow</v>
      </c>
      <c r="C28" t="str">
        <f>IFERROR(__xludf.DUMMYFUNCTION("AI(""The city of the university that is in the next row"")"),"Glasgow")</f>
        <v>Glasgow</v>
      </c>
      <c r="D28" t="b">
        <v>0</v>
      </c>
      <c r="E28" t="b">
        <v>0</v>
      </c>
      <c r="F28" t="str">
        <v>https://www.gla.ac.uk/myglasgow/careers/employers/advertise-opportunities/</v>
      </c>
      <c r="G28" t="b">
        <v>0</v>
      </c>
      <c r="H28" t="b">
        <v>0</v>
      </c>
    </row>
    <row r="29">
      <c r="A29" t="str">
        <v>employers@st-andrews.ac.uk</v>
      </c>
      <c r="B29" t="str">
        <v>University of St Andrews</v>
      </c>
      <c r="C29" t="str">
        <f>IFERROR(__xludf.DUMMYFUNCTION("AI(""The city of the university that is in the next row"")"),"St Andrews")</f>
        <v>St Andrews</v>
      </c>
      <c r="D29" t="b">
        <v>0</v>
      </c>
      <c r="E29" t="b">
        <v>0</v>
      </c>
      <c r="G29" t="b">
        <v>0</v>
      </c>
      <c r="H29" t="b">
        <v>0</v>
      </c>
    </row>
    <row r="30">
      <c r="A30" t="str">
        <v>careers@plymouth.ac.uk</v>
      </c>
      <c r="B30" t="str">
        <v>University of Plymouth</v>
      </c>
      <c r="C30" t="str">
        <f>IFERROR(__xludf.DUMMYFUNCTION("AI(""The city of the university that is in the next row"")"),"Plymouth")</f>
        <v>Plymouth</v>
      </c>
      <c r="D30" t="b">
        <v>0</v>
      </c>
      <c r="E30" t="b">
        <v>0</v>
      </c>
      <c r="F30" t="str">
        <v>https://mycareer.plymouth.ac.uk/unauth</v>
      </c>
      <c r="G30" t="b">
        <v>0</v>
      </c>
      <c r="H30" t="b">
        <v>0</v>
      </c>
    </row>
    <row r="31">
      <c r="A31" t="str">
        <v>recruit@bath.ac.uk</v>
      </c>
      <c r="B31" t="str">
        <v>University of Bath</v>
      </c>
      <c r="C31" t="str">
        <f>IFERROR(__xludf.DUMMYFUNCTION("AI(""The city of the university that is in the next row"")"),"Exeter")</f>
        <v>Exeter</v>
      </c>
      <c r="D31" t="b">
        <v>0</v>
      </c>
      <c r="E31" t="b">
        <v>0</v>
      </c>
      <c r="G31" t="b">
        <v>0</v>
      </c>
      <c r="H31" t="b">
        <v>0</v>
      </c>
    </row>
    <row r="32">
      <c r="A32" t="str">
        <v>business-school-careers@exeter.ac.uk</v>
      </c>
      <c r="B32" t="str">
        <v>University of Exeter</v>
      </c>
      <c r="C32" t="str">
        <f>IFERROR(__xludf.DUMMYFUNCTION("AI(""The city of the university that is in the next row"")"),"Birmingham")</f>
        <v>Birmingham</v>
      </c>
      <c r="D32" t="b">
        <v>0</v>
      </c>
      <c r="E32" t="b">
        <v>0</v>
      </c>
      <c r="G32" t="b">
        <v>0</v>
      </c>
      <c r="H32" t="b">
        <v>0</v>
      </c>
    </row>
    <row r="33">
      <c r="A33" t="str">
        <v>internships@contacts.bham.ac.uk</v>
      </c>
      <c r="B33" t="str">
        <v>University of Birmingham</v>
      </c>
      <c r="C33" t="str">
        <f>IFERROR(__xludf.DUMMYFUNCTION("AI(""The city of the university that is in the next row"")"),"Birmingham")</f>
        <v>Birmingham</v>
      </c>
      <c r="D33" t="b">
        <v>0</v>
      </c>
      <c r="E33" t="b">
        <v>0</v>
      </c>
      <c r="F33" t="str">
        <v>https://www.birmingham.ac.uk/collaborate/employers/vacancies</v>
      </c>
      <c r="G33" t="b">
        <v>0</v>
      </c>
      <c r="H33" t="b">
        <v>0</v>
      </c>
    </row>
    <row r="34">
      <c r="A34" t="str">
        <v>nubs.employability@newcastle.ac.uk</v>
      </c>
      <c r="B34" t="str">
        <v>Newcastle University</v>
      </c>
      <c r="C34" t="str">
        <f>IFERROR(__xludf.DUMMYFUNCTION("AI(""The city of the university that is in the next row"")"),"Cardiff")</f>
        <v>Cardiff</v>
      </c>
      <c r="D34" t="b">
        <v>0</v>
      </c>
      <c r="E34" t="b">
        <v>0</v>
      </c>
      <c r="G34" t="b">
        <v>0</v>
      </c>
      <c r="H34" t="b">
        <v>0</v>
      </c>
    </row>
    <row r="35">
      <c r="A35" t="str">
        <v>employerservices@cardiff.ac.uk</v>
      </c>
      <c r="B35" t="str">
        <v>Cardiff University</v>
      </c>
      <c r="C35" t="str">
        <f>IFERROR(__xludf.DUMMYFUNCTION("AI(""The city of the university that is in the next row"")"),"Cardiff")</f>
        <v>Cardiff</v>
      </c>
      <c r="D35" t="b">
        <v>0</v>
      </c>
      <c r="E35" t="b">
        <v>0</v>
      </c>
      <c r="F35" t="str">
        <v>https://cardiff.targetconnect.net/unauth/employer/login</v>
      </c>
      <c r="G35" t="b">
        <v>0</v>
      </c>
      <c r="H35" t="b">
        <v>0</v>
      </c>
      <c r="J35" t="str">
        <v xml:space="preserve">eerst de volgende link checken. zijn de voorwaarden waar de stage aan moet voldoen https://mail.google.com/mail/u/0/#search/employerservices%40cardiff.ac.uk/FMfcgzQgMgMjvKDlQlxfzcqMqLnQrMQf?projector=1&amp;messagePartId=0.1 </v>
      </c>
    </row>
    <row r="36">
      <c r="C36" t="str">
        <f>IFERROR(__xludf.DUMMYFUNCTION("AI(""The city of the university that is in the next row"")"),"I do not have enough information to determine the city because the university name for the next row (row 37) is missing from the provided spreadsheet context.")</f>
        <v>I do not have enough information to determine the city because the university name for the next row (row 37) is missing from the provided spreadsheet context.</v>
      </c>
      <c r="D36" t="b">
        <v>0</v>
      </c>
      <c r="E36" t="b">
        <v>0</v>
      </c>
      <c r="G36" t="b">
        <v>0</v>
      </c>
      <c r="H36" t="b">
        <v>0</v>
      </c>
    </row>
    <row r="37">
      <c r="C37" t="str">
        <f>IFERROR(__xludf.DUMMYFUNCTION("AI(""The city of the university that is in the next row"")"),"Cambridge")</f>
        <v>Cambridge</v>
      </c>
      <c r="D37" t="b">
        <v>0</v>
      </c>
      <c r="E37" t="b">
        <v>0</v>
      </c>
      <c r="G37" t="b">
        <v>0</v>
      </c>
      <c r="H37" t="b">
        <v>0</v>
      </c>
    </row>
    <row r="38">
      <c r="C38" t="str">
        <f>IFERROR(__xludf.DUMMYFUNCTION("AI(""The city of the university that is in the next row"")"),"Cardiff")</f>
        <v>Cardiff</v>
      </c>
      <c r="D38" t="b">
        <v>0</v>
      </c>
      <c r="E38" t="b">
        <v>0</v>
      </c>
      <c r="G38" t="b">
        <v>0</v>
      </c>
      <c r="H38" t="b">
        <v>0</v>
      </c>
    </row>
    <row r="39">
      <c r="C39" t="str">
        <f>IFERROR(__xludf.DUMMYFUNCTION("AI(""The city of the university that is in the next row"")"),"Cambridge")</f>
        <v>Cambridge</v>
      </c>
      <c r="D39" t="b">
        <v>0</v>
      </c>
      <c r="E39" t="b">
        <v>0</v>
      </c>
      <c r="G39" t="b">
        <v>0</v>
      </c>
      <c r="H39" t="b">
        <v>0</v>
      </c>
    </row>
    <row r="40">
      <c r="C40" t="str">
        <f>IFERROR(__xludf.DUMMYFUNCTION("AI(""The city of the university that is in the next row"")"),"I do not have enough information to answer the query because the university name in the next row is missing.")</f>
        <v>I do not have enough information to answer the query because the university name in the next row is missing.</v>
      </c>
      <c r="D40" t="b">
        <v>0</v>
      </c>
      <c r="E40" t="b">
        <v>0</v>
      </c>
      <c r="G40" t="b">
        <v>0</v>
      </c>
      <c r="H40" t="b">
        <v>0</v>
      </c>
    </row>
    <row r="41">
      <c r="C41" t="str">
        <f>IFERROR(__xludf.DUMMYFUNCTION("AI(""The city of the university that is in the next row"")"),"I do not have enough information to provide the city. I am missing the university name for the corresponding row to determine its location.")</f>
        <v>I do not have enough information to provide the city. I am missing the university name for the corresponding row to determine its location.</v>
      </c>
      <c r="D41" t="b">
        <v>0</v>
      </c>
      <c r="E41" t="b">
        <v>0</v>
      </c>
      <c r="G41" t="b">
        <v>0</v>
      </c>
      <c r="H41" t="b">
        <v>0</v>
      </c>
    </row>
    <row r="42">
      <c r="C42" t="str">
        <f>IFERROR(__xludf.DUMMYFUNCTION("AI(""The city of the university that is in the next row"")"),"Cambridge")</f>
        <v>Cambridge</v>
      </c>
      <c r="D42" t="b">
        <v>0</v>
      </c>
      <c r="E42" t="b">
        <v>0</v>
      </c>
      <c r="G42" t="b">
        <v>0</v>
      </c>
      <c r="H42" t="b">
        <v>0</v>
      </c>
    </row>
    <row r="43">
      <c r="C43" t="str">
        <f>IFERROR(__xludf.DUMMYFUNCTION("AI(""The city of the university that is in the next row"")"),"Brighton")</f>
        <v>Brighton</v>
      </c>
      <c r="D43" t="b">
        <v>0</v>
      </c>
      <c r="E43" t="b">
        <v>0</v>
      </c>
      <c r="G43" t="b">
        <v>0</v>
      </c>
      <c r="H43" t="b">
        <v>0</v>
      </c>
    </row>
    <row r="44">
      <c r="C44" t="str">
        <f>IFERROR(__xludf.DUMMYFUNCTION("AI(""The city of the university that is in the next row"")"),"Cambridge")</f>
        <v>Cambridge</v>
      </c>
      <c r="D44" t="b">
        <v>0</v>
      </c>
      <c r="E44" t="b">
        <v>0</v>
      </c>
      <c r="G44" t="b">
        <v>0</v>
      </c>
      <c r="H44" t="b">
        <v>0</v>
      </c>
    </row>
    <row r="45">
      <c r="C45" t="str">
        <f>IFERROR(__xludf.DUMMYFUNCTION("AI(""The city of the university that is in the next row"")"),"Cardiff")</f>
        <v>Cardiff</v>
      </c>
      <c r="D45" t="b">
        <v>0</v>
      </c>
      <c r="E45" t="b">
        <v>0</v>
      </c>
      <c r="G45" t="b">
        <v>0</v>
      </c>
      <c r="H45" t="b">
        <v>0</v>
      </c>
    </row>
    <row r="46">
      <c r="C46" t="str">
        <f>IFERROR(__xludf.DUMMYFUNCTION("AI(""The city of the university that is in the next row"")"),"I do not have enough information to answer the query. I am missing the university name in row 47 to determine its city.")</f>
        <v>I do not have enough information to answer the query. I am missing the university name in row 47 to determine its city.</v>
      </c>
      <c r="D46" t="b">
        <v>0</v>
      </c>
      <c r="E46" t="b">
        <v>0</v>
      </c>
      <c r="G46" t="b">
        <v>0</v>
      </c>
      <c r="H46" t="b">
        <v>0</v>
      </c>
    </row>
    <row r="47">
      <c r="C47" t="str">
        <f>IFERROR(__xludf.DUMMYFUNCTION("AI(""The city of the university that is in the next row"")"),"I do not have enough information to answer the query because the university name for the next row is missing from the provided spreadsheet context. Please provide the university name to get the city.")</f>
        <v>I do not have enough information to answer the query because the university name for the next row is missing from the provided spreadsheet context. Please provide the university name to get the city.</v>
      </c>
      <c r="D47" t="b">
        <v>0</v>
      </c>
      <c r="E47" t="b">
        <v>0</v>
      </c>
      <c r="G47" t="b">
        <v>0</v>
      </c>
      <c r="H47" t="b">
        <v>0</v>
      </c>
    </row>
    <row r="48">
      <c r="C48" t="str">
        <f>IFERROR(__xludf.DUMMYFUNCTION("AI(""The city of the university that is in the next row"")"),"I do not have enough information to answer this query. I am missing the name of the university in the next row (row 49) to determine its city.")</f>
        <v>I do not have enough information to answer this query. I am missing the name of the university in the next row (row 49) to determine its city.</v>
      </c>
      <c r="D48" t="b">
        <v>0</v>
      </c>
      <c r="E48" t="b">
        <v>0</v>
      </c>
      <c r="G48" t="b">
        <v>0</v>
      </c>
      <c r="H48" t="b">
        <v>0</v>
      </c>
    </row>
    <row r="49">
      <c r="C49" t="str">
        <f>IFERROR(__xludf.DUMMYFUNCTION("AI(""The city of the university that is in the next row"")"),"=AI(""The city of the university that is in the next row"")")</f>
        <v>=AI("The city of the university that is in the next row")</v>
      </c>
      <c r="D49" t="b">
        <v>0</v>
      </c>
      <c r="E49" t="b">
        <v>0</v>
      </c>
      <c r="G49" t="b">
        <v>0</v>
      </c>
      <c r="H49" t="b">
        <v>0</v>
      </c>
    </row>
    <row r="50">
      <c r="C50" t="str">
        <f>IFERROR(__xludf.DUMMYFUNCTION("AI(""The city of the university that is in the next row"")"),"I do not have enough information to answer the query. I am missing the university name in the next row (row 51) to determine its city.")</f>
        <v>I do not have enough information to answer the query. I am missing the university name in the next row (row 51) to determine its city.</v>
      </c>
      <c r="D50" t="b">
        <v>0</v>
      </c>
      <c r="E50" t="b">
        <v>0</v>
      </c>
      <c r="G50" t="b">
        <v>0</v>
      </c>
      <c r="H50" t="b">
        <v>0</v>
      </c>
    </row>
    <row r="51">
      <c r="C51" t="str">
        <f>IFERROR(__xludf.DUMMYFUNCTION("AI(""The city of the university that is in the next row"")"),"I do not have enough information to answer the query because the university name in the next row is missing from the spreadsheet context.")</f>
        <v>I do not have enough information to answer the query because the university name in the next row is missing from the spreadsheet context.</v>
      </c>
      <c r="D51" t="b">
        <v>0</v>
      </c>
      <c r="E51" t="b">
        <v>0</v>
      </c>
      <c r="G51" t="b">
        <v>0</v>
      </c>
      <c r="H51" t="b">
        <v>0</v>
      </c>
    </row>
    <row r="52">
      <c r="C52" t="str">
        <f>IFERROR(__xludf.DUMMYFUNCTION("AI(""The city of the university that is in the next row"")"),"Aberdeen")</f>
        <v>Aberdeen</v>
      </c>
      <c r="D52" t="b">
        <v>0</v>
      </c>
      <c r="E52" t="b">
        <v>0</v>
      </c>
      <c r="G52" t="b">
        <v>0</v>
      </c>
      <c r="H52" t="b">
        <v>0</v>
      </c>
    </row>
    <row r="53">
      <c r="C53" t="str">
        <f>IFERROR(__xludf.DUMMYFUNCTION("AI(""The city of the university that is in the next row"")"),"=AI(""The city of the university that is in the next row"")")</f>
        <v>=AI("The city of the university that is in the next row")</v>
      </c>
      <c r="D53" t="b">
        <v>0</v>
      </c>
      <c r="E53" t="b">
        <v>0</v>
      </c>
      <c r="G53" t="b">
        <v>0</v>
      </c>
      <c r="H53" t="b">
        <v>0</v>
      </c>
    </row>
    <row r="54">
      <c r="C54" t="str">
        <f>IFERROR(__xludf.DUMMYFUNCTION("AI(""The city of the university that is in the next row"")"),"I do not have enough information to answer the query. The university name in the next row (row 55) is missing from the spreadsheet context, which is required to determine its city.")</f>
        <v>I do not have enough information to answer the query. The university name in the next row (row 55) is missing from the spreadsheet context, which is required to determine its city.</v>
      </c>
      <c r="D54" t="b">
        <v>0</v>
      </c>
      <c r="E54" t="b">
        <v>0</v>
      </c>
      <c r="G54" t="b">
        <v>0</v>
      </c>
      <c r="H54" t="b">
        <v>0</v>
      </c>
    </row>
    <row r="55">
      <c r="C55" t="str">
        <f>IFERROR(__xludf.DUMMYFUNCTION("AI(""The city of the university that is in the next row"")"),"I do not have enough information to provide the city. The spreadsheet context does not show the university name for this row or the subsequent rows. Please ensure the university name is visible in the data.")</f>
        <v>I do not have enough information to provide the city. The spreadsheet context does not show the university name for this row or the subsequent rows. Please ensure the university name is visible in the data.</v>
      </c>
      <c r="D55" t="b">
        <v>0</v>
      </c>
      <c r="E55" t="b">
        <v>0</v>
      </c>
      <c r="G55" t="b">
        <v>0</v>
      </c>
      <c r="H55" t="b">
        <v>0</v>
      </c>
    </row>
    <row r="56">
      <c r="C56" t="str">
        <f>IFERROR(__xludf.DUMMYFUNCTION("AI(""The city of the university that is in the next row"")"),"I do not have enough information to answer the query. I am missing the university name for the subsequent rows to determine its city.")</f>
        <v>I do not have enough information to answer the query. I am missing the university name for the subsequent rows to determine its city.</v>
      </c>
      <c r="D56" t="b">
        <v>0</v>
      </c>
      <c r="E56" t="b">
        <v>0</v>
      </c>
      <c r="G56" t="b">
        <v>0</v>
      </c>
      <c r="H56" t="b">
        <v>0</v>
      </c>
    </row>
    <row r="57">
      <c r="C57" t="str">
        <f>IFERROR(__xludf.DUMMYFUNCTION("AI(""The city of the university that is in the next row"")"),"=AI(""The city of the university that is in the next row"")")</f>
        <v>=AI("The city of the university that is in the next row")</v>
      </c>
      <c r="D57" t="b">
        <v>0</v>
      </c>
      <c r="E57" t="b">
        <v>0</v>
      </c>
      <c r="G57" t="b">
        <v>0</v>
      </c>
      <c r="H57" t="b">
        <v>0</v>
      </c>
    </row>
    <row r="58">
      <c r="C58" t="str">
        <f>IFERROR(__xludf.DUMMYFUNCTION("AI(""The city of the university that is in the next row"")"),"=AI(""The city of the university that is in the next row"")")</f>
        <v>=AI("The city of the university that is in the next row")</v>
      </c>
      <c r="D58" t="b">
        <v>0</v>
      </c>
      <c r="E58" t="b">
        <v>0</v>
      </c>
      <c r="G58" t="b">
        <v>0</v>
      </c>
      <c r="H58" t="b">
        <v>0</v>
      </c>
    </row>
    <row r="59">
      <c r="C59" t="str">
        <f>IFERROR(__xludf.DUMMYFUNCTION("AI(""The city of the university that is in the next row"")"),"I do not have enough information to answer the query. I am missing the university name in the next row (row 60) to determine its city.")</f>
        <v>I do not have enough information to answer the query. I am missing the university name in the next row (row 60) to determine its city.</v>
      </c>
      <c r="D59" t="b">
        <v>0</v>
      </c>
      <c r="E59" t="b">
        <v>0</v>
      </c>
      <c r="G59" t="b">
        <v>0</v>
      </c>
      <c r="H59" t="b">
        <v>0</v>
      </c>
    </row>
    <row r="60">
      <c r="C60" t="str">
        <f>IFERROR(__xludf.DUMMYFUNCTION("AI(""The city of the university that is in the next row"")"),"I do not have enough information to answer the query. I am missing the name of the university in the next row (row 61) to determine its city.")</f>
        <v>I do not have enough information to answer the query. I am missing the name of the university in the next row (row 61) to determine its city.</v>
      </c>
      <c r="D60" t="b">
        <v>0</v>
      </c>
      <c r="E60" t="b">
        <v>0</v>
      </c>
      <c r="G60" t="b">
        <v>0</v>
      </c>
      <c r="H60" t="b">
        <v>0</v>
      </c>
    </row>
    <row r="61">
      <c r="C61" t="str">
        <f>IFERROR(__xludf.DUMMYFUNCTION("AI(""The city of the university that is in the next row"")"),"=AI(""The city of the university that is in the next row"")")</f>
        <v>=AI("The city of the university that is in the next row")</v>
      </c>
      <c r="D61" t="b">
        <v>0</v>
      </c>
      <c r="E61" t="b">
        <v>0</v>
      </c>
      <c r="G61" t="b">
        <v>0</v>
      </c>
      <c r="H61" t="b">
        <v>0</v>
      </c>
    </row>
    <row r="62">
      <c r="C62" t="str">
        <f>IFERROR(__xludf.DUMMYFUNCTION("AI(""The city of the university that is in the next row"")"),"=AI(""The city of the university that is in the next row"")")</f>
        <v>=AI("The city of the university that is in the next row")</v>
      </c>
      <c r="D62" t="b">
        <v>0</v>
      </c>
      <c r="E62" t="b">
        <v>0</v>
      </c>
      <c r="G62" t="b">
        <v>0</v>
      </c>
      <c r="H62" t="b">
        <v>0</v>
      </c>
    </row>
    <row r="63">
      <c r="C63" t="str">
        <f>IFERROR(__xludf.DUMMYFUNCTION("AI(""The city of the university that is in the next row"")"),"I do not have enough information to answer the query. I am missing the university name or data for the next row (row 64) to determine its city.")</f>
        <v>I do not have enough information to answer the query. I am missing the university name or data for the next row (row 64) to determine its city.</v>
      </c>
      <c r="D63" t="b">
        <v>0</v>
      </c>
      <c r="E63" t="b">
        <v>0</v>
      </c>
      <c r="G63" t="b">
        <v>0</v>
      </c>
      <c r="H63" t="b">
        <v>0</v>
      </c>
    </row>
    <row r="64">
      <c r="C64" t="str">
        <f>IFERROR(__xludf.DUMMYFUNCTION("AI(""The city of the university that is in the next row"")"),"=AI(""The city of the university that is in the next row"")")</f>
        <v>=AI("The city of the university that is in the next row")</v>
      </c>
      <c r="D64" t="b">
        <v>0</v>
      </c>
      <c r="E64" t="b">
        <v>0</v>
      </c>
      <c r="G64" t="b">
        <v>0</v>
      </c>
      <c r="H64" t="b">
        <v>0</v>
      </c>
    </row>
    <row r="65">
      <c r="C65" t="str">
        <f>IFERROR(__xludf.DUMMYFUNCTION("AI(""The city of the university that is in the next row"")"),"=AI(""The city of the university that is in the next row"")")</f>
        <v>=AI("The city of the university that is in the next row")</v>
      </c>
      <c r="D65" t="b">
        <v>0</v>
      </c>
      <c r="E65" t="b">
        <v>0</v>
      </c>
      <c r="G65" t="b">
        <v>0</v>
      </c>
      <c r="H65" t="b">
        <v>0</v>
      </c>
    </row>
    <row r="66">
      <c r="C66" t="str">
        <f>IFERROR(__xludf.DUMMYFUNCTION("AI(""The city of the university that is in the next row"")"),"I do not have enough information to answer the query. I am missing the name of the university in the next row (row 67) to determine its city.")</f>
        <v>I do not have enough information to answer the query. I am missing the name of the university in the next row (row 67) to determine its city.</v>
      </c>
      <c r="D66" t="b">
        <v>0</v>
      </c>
      <c r="E66" t="b">
        <v>0</v>
      </c>
      <c r="G66" t="b">
        <v>0</v>
      </c>
      <c r="H66" t="b">
        <v>0</v>
      </c>
    </row>
    <row r="67">
      <c r="C67" t="str">
        <f>IFERROR(__xludf.DUMMYFUNCTION("AI(""The city of the university that is in the next row"")"),"I do not have enough information to answer the query. I am missing the name of the university in the next row to determine its city.")</f>
        <v>I do not have enough information to answer the query. I am missing the name of the university in the next row to determine its city.</v>
      </c>
      <c r="D67" t="b">
        <v>0</v>
      </c>
      <c r="E67" t="b">
        <v>0</v>
      </c>
      <c r="G67" t="b">
        <v>0</v>
      </c>
      <c r="H67" t="b">
        <v>0</v>
      </c>
    </row>
    <row r="68">
      <c r="C68" t="str">
        <f>IFERROR(__xludf.DUMMYFUNCTION("AI(""The city of the university that is in the next row"")"),"I do not have enough information to determine the city because the university name for the next row is missing from the provided spreadsheet data.")</f>
        <v>I do not have enough information to determine the city because the university name for the next row is missing from the provided spreadsheet data.</v>
      </c>
      <c r="D68" t="b">
        <v>0</v>
      </c>
      <c r="E68" t="b">
        <v>0</v>
      </c>
      <c r="G68" t="b">
        <v>0</v>
      </c>
      <c r="H68" t="b">
        <v>0</v>
      </c>
    </row>
    <row r="69">
      <c r="C69" t="str">
        <f>IFERROR(__xludf.DUMMYFUNCTION("AI(""The city of the university that is in the next row"")"),"=AI(""The city of the university that is in the next row"")")</f>
        <v>=AI("The city of the university that is in the next row")</v>
      </c>
      <c r="D69" t="b">
        <v>0</v>
      </c>
      <c r="E69" t="b">
        <v>0</v>
      </c>
      <c r="G69" t="b">
        <v>0</v>
      </c>
      <c r="H69" t="b">
        <v>0</v>
      </c>
    </row>
    <row r="70">
      <c r="C70" t="str">
        <f>IFERROR(__xludf.DUMMYFUNCTION("AI(""The city of the university that is in the next row"")"),"I do not have enough information to answer the query. I am missing the data for the university name in row 71 to determine its city.")</f>
        <v>I do not have enough information to answer the query. I am missing the data for the university name in row 71 to determine its city.</v>
      </c>
      <c r="D70" t="b">
        <v>0</v>
      </c>
      <c r="E70" t="b">
        <v>0</v>
      </c>
      <c r="G70" t="b">
        <v>0</v>
      </c>
      <c r="H70" t="b">
        <v>0</v>
      </c>
    </row>
    <row r="71">
      <c r="C71" t="str">
        <f>IFERROR(__xludf.DUMMYFUNCTION("AI(""The city of the university that is in the next row"")"),"I do not have enough information to answer the query. I am missing the name of the university in the row to determine its city.")</f>
        <v>I do not have enough information to answer the query. I am missing the name of the university in the row to determine its city.</v>
      </c>
      <c r="D71" t="b">
        <v>0</v>
      </c>
      <c r="E71" t="b">
        <v>0</v>
      </c>
      <c r="G71" t="b">
        <v>0</v>
      </c>
      <c r="H71" t="b">
        <v>0</v>
      </c>
    </row>
    <row r="72">
      <c r="C72" t="str">
        <f>IFERROR(__xludf.DUMMYFUNCTION("AI(""The city of the university that is in the next row"")"),"I do not have enough information to answer the query. The spreadsheet context does not show the university name for the rows beyond row 35, so I cannot determine the city for the next row.")</f>
        <v>I do not have enough information to answer the query. The spreadsheet context does not show the university name for the rows beyond row 35, so I cannot determine the city for the next row.</v>
      </c>
      <c r="D72" t="b">
        <v>0</v>
      </c>
      <c r="E72" t="b">
        <v>0</v>
      </c>
      <c r="G72" t="b">
        <v>0</v>
      </c>
      <c r="H72" t="b">
        <v>0</v>
      </c>
    </row>
    <row r="73">
      <c r="C73" t="str">
        <f>IFERROR(__xludf.DUMMYFUNCTION("AI(""The city of the university that is in the next row"")"),"=AI(""The city of the university that is in the next row"")")</f>
        <v>=AI("The city of the university that is in the next row")</v>
      </c>
      <c r="D73" t="b">
        <v>0</v>
      </c>
      <c r="E73" t="b">
        <v>0</v>
      </c>
      <c r="G73" t="b">
        <v>0</v>
      </c>
      <c r="H73" t="b">
        <v>0</v>
      </c>
    </row>
    <row r="74">
      <c r="C74" t="str">
        <f>IFERROR(__xludf.DUMMYFUNCTION("AI(""The city of the university that is in the next row"")"),"I do not have enough information to answer the query. I am missing the row data for row 75, specifically the university name, to determine its city.")</f>
        <v>I do not have enough information to answer the query. I am missing the row data for row 75, specifically the university name, to determine its city.</v>
      </c>
      <c r="D74" t="b">
        <v>0</v>
      </c>
      <c r="E74" t="b">
        <v>0</v>
      </c>
      <c r="G74" t="b">
        <v>0</v>
      </c>
      <c r="H74" t="b">
        <v>0</v>
      </c>
    </row>
    <row r="75">
      <c r="C75" t="str">
        <f>IFERROR(__xludf.DUMMYFUNCTION("AI(""The city of the university that is in the next row"")"),"I do not have enough information to answer the query. I am missing the name of the university in the next row (row 76) to determine its city.")</f>
        <v>I do not have enough information to answer the query. I am missing the name of the university in the next row (row 76) to determine its city.</v>
      </c>
      <c r="D75" t="b">
        <v>0</v>
      </c>
      <c r="E75" t="b">
        <v>0</v>
      </c>
      <c r="G75" t="b">
        <v>0</v>
      </c>
      <c r="H75" t="b">
        <v>0</v>
      </c>
    </row>
    <row r="76">
      <c r="C76" t="str">
        <f>IFERROR(__xludf.DUMMYFUNCTION("AI(""The city of the university that is in the next row"")"),"I do not have enough information to answer the query. I am missing the university name for this row to determine its city.")</f>
        <v>I do not have enough information to answer the query. I am missing the university name for this row to determine its city.</v>
      </c>
      <c r="D76" t="b">
        <v>0</v>
      </c>
      <c r="E76" t="b">
        <v>0</v>
      </c>
      <c r="G76" t="b">
        <v>0</v>
      </c>
      <c r="H76" t="b">
        <v>0</v>
      </c>
    </row>
    <row r="77">
      <c r="C77" t="str">
        <f>IFERROR(__xludf.DUMMYFUNCTION("AI(""The city of the university that is in the next row"")"),"I do not have enough information to answer the query. I am missing the university name for the corresponding row to determine its city.")</f>
        <v>I do not have enough information to answer the query. I am missing the university name for the corresponding row to determine its city.</v>
      </c>
      <c r="D77" t="b">
        <v>0</v>
      </c>
      <c r="E77" t="b">
        <v>0</v>
      </c>
      <c r="G77" t="b">
        <v>0</v>
      </c>
      <c r="H77" t="b">
        <v>0</v>
      </c>
    </row>
    <row r="78">
      <c r="C78" t="str">
        <f>IFERROR(__xludf.DUMMYFUNCTION("AI(""The city of the university that is in the next row"")"),"I do not have enough information to answer the query. I am missing the university name for this row to determine its city.")</f>
        <v>I do not have enough information to answer the query. I am missing the university name for this row to determine its city.</v>
      </c>
      <c r="D78" t="b">
        <v>0</v>
      </c>
      <c r="E78" t="b">
        <v>0</v>
      </c>
      <c r="G78" t="b">
        <v>0</v>
      </c>
      <c r="H78" t="b">
        <v>0</v>
      </c>
    </row>
    <row r="79">
      <c r="C79" t="str">
        <f>IFERROR(__xludf.DUMMYFUNCTION("AI(""The city of the university that is in the next row"")"),"=AI(""The city of the university that is in the next row"")")</f>
        <v>=AI("The city of the university that is in the next row")</v>
      </c>
      <c r="D79" t="b">
        <v>0</v>
      </c>
      <c r="E79" t="b">
        <v>0</v>
      </c>
      <c r="G79" t="b">
        <v>0</v>
      </c>
      <c r="H79" t="b">
        <v>0</v>
      </c>
    </row>
    <row r="80">
      <c r="C80" t="str">
        <f>IFERROR(__xludf.DUMMYFUNCTION("AI(""The city of the university that is in the next row"")"),"I do not have enough information to answer the query. I am missing the university name in the next row (row 81) to determine its city.")</f>
        <v>I do not have enough information to answer the query. I am missing the university name in the next row (row 81) to determine its city.</v>
      </c>
      <c r="D80" t="b">
        <v>0</v>
      </c>
      <c r="E80" t="b">
        <v>0</v>
      </c>
      <c r="G80" t="b">
        <v>0</v>
      </c>
      <c r="H80" t="b">
        <v>0</v>
      </c>
    </row>
    <row r="81">
      <c r="C81" t="str">
        <f>IFERROR(__xludf.DUMMYFUNCTION("AI(""The city of the university that is in the next row"")"),"I do not have enough information to answer the query. I am missing the university name in the next row (row 82) to determine its city.")</f>
        <v>I do not have enough information to answer the query. I am missing the university name in the next row (row 82) to determine its city.</v>
      </c>
      <c r="D81" t="b">
        <v>0</v>
      </c>
      <c r="E81" t="b">
        <v>0</v>
      </c>
      <c r="G81" t="b">
        <v>0</v>
      </c>
      <c r="H81" t="b">
        <v>0</v>
      </c>
    </row>
    <row r="82">
      <c r="C82" t="str">
        <f>IFERROR(__xludf.DUMMYFUNCTION("AI(""The city of the university that is in the next row"")"),"I do not have enough information to answer the query. I am missing the university name in the next row (row 83) to determine its city.")</f>
        <v>I do not have enough information to answer the query. I am missing the university name in the next row (row 83) to determine its city.</v>
      </c>
      <c r="D82" t="b">
        <v>0</v>
      </c>
      <c r="E82" t="b">
        <v>0</v>
      </c>
      <c r="G82" t="b">
        <v>0</v>
      </c>
      <c r="H82" t="b">
        <v>0</v>
      </c>
    </row>
    <row r="83">
      <c r="C83" t="str">
        <f>IFERROR(__xludf.DUMMYFUNCTION("AI(""The city of the university that is in the next row"")"),"=AI(""The city of the university that is in the next row"")")</f>
        <v>=AI("The city of the university that is in the next row")</v>
      </c>
      <c r="D83" t="b">
        <v>0</v>
      </c>
      <c r="E83" t="b">
        <v>0</v>
      </c>
      <c r="G83" t="b">
        <v>0</v>
      </c>
      <c r="H83" t="b">
        <v>0</v>
      </c>
    </row>
    <row r="84">
      <c r="C84" t="str">
        <f>IFERROR(__xludf.DUMMYFUNCTION("AI(""The city of the university that is in the next row"")"),"I do not have enough information to answer the query. I am missing the name of the university in the next row (row 85) to determine its city.")</f>
        <v>I do not have enough information to answer the query. I am missing the name of the university in the next row (row 85) to determine its city.</v>
      </c>
      <c r="D84" t="b">
        <v>0</v>
      </c>
      <c r="E84" t="b">
        <v>0</v>
      </c>
      <c r="G84" t="b">
        <v>0</v>
      </c>
      <c r="H84" t="b">
        <v>0</v>
      </c>
    </row>
    <row r="85">
      <c r="C85" t="str">
        <f>IFERROR(__xludf.DUMMYFUNCTION("AI(""The city of the university that is in the next row"")"),"I do not have enough information to answer the query. I am missing the university name in the next row to determine its city.")</f>
        <v>I do not have enough information to answer the query. I am missing the university name in the next row to determine its city.</v>
      </c>
      <c r="D85" t="b">
        <v>0</v>
      </c>
      <c r="E85" t="b">
        <v>0</v>
      </c>
      <c r="G85" t="b">
        <v>0</v>
      </c>
      <c r="H85" t="b">
        <v>0</v>
      </c>
    </row>
    <row r="86">
      <c r="C86" t="str">
        <f>IFERROR(__xludf.DUMMYFUNCTION("AI(""The city of the university that is in the next row"")"),"I do not have enough information to answer the query because the university name in the next row (row 87) is not provided in the spreadsheet context.")</f>
        <v>I do not have enough information to answer the query because the university name in the next row (row 87) is not provided in the spreadsheet context.</v>
      </c>
      <c r="D86" t="b">
        <v>0</v>
      </c>
      <c r="E86" t="b">
        <v>0</v>
      </c>
      <c r="G86" t="b">
        <v>0</v>
      </c>
      <c r="H86" t="b">
        <v>0</v>
      </c>
    </row>
    <row r="87">
      <c r="C87" t="str">
        <f>IFERROR(__xludf.DUMMYFUNCTION("AI(""The city of the university that is in the next row"")"),"Sheffield")</f>
        <v>Sheffield</v>
      </c>
      <c r="D87" t="b">
        <v>0</v>
      </c>
      <c r="E87" t="b">
        <v>0</v>
      </c>
      <c r="G87" t="b">
        <v>0</v>
      </c>
      <c r="H87" t="b">
        <v>0</v>
      </c>
    </row>
    <row r="88">
      <c r="C88" t="str">
        <f>IFERROR(__xludf.DUMMYFUNCTION("AI(""The city of the university that is in the next row"")"),"=AI(""The city of the university that is in the next row"")")</f>
        <v>=AI("The city of the university that is in the next row")</v>
      </c>
      <c r="D88" t="b">
        <v>0</v>
      </c>
      <c r="E88" t="b">
        <v>0</v>
      </c>
      <c r="G88" t="b">
        <v>0</v>
      </c>
      <c r="H88" t="b">
        <v>0</v>
      </c>
    </row>
    <row r="89">
      <c r="C89" t="str">
        <f>IFERROR(__xludf.DUMMYFUNCTION("AI(""The city of the university that is in the next row"")"),"=AI(""The city of the university that is in the next row"")")</f>
        <v>=AI("The city of the university that is in the next row")</v>
      </c>
      <c r="D89" t="b">
        <v>0</v>
      </c>
      <c r="E89" t="b">
        <v>0</v>
      </c>
      <c r="G89" t="b">
        <v>0</v>
      </c>
      <c r="H89" t="b">
        <v>0</v>
      </c>
    </row>
    <row r="90">
      <c r="C90" t="str">
        <f>IFERROR(__xludf.DUMMYFUNCTION("AI(""The city of the university that is in the next row"")"),"=AI(""The city of the university that is in the next row"")")</f>
        <v>=AI("The city of the university that is in the next row")</v>
      </c>
      <c r="D90" t="b">
        <v>0</v>
      </c>
      <c r="E90" t="b">
        <v>0</v>
      </c>
      <c r="G90" t="b">
        <v>0</v>
      </c>
      <c r="H90" t="b">
        <v>0</v>
      </c>
    </row>
    <row r="91">
      <c r="C91" t="str">
        <f>IFERROR(__xludf.DUMMYFUNCTION("AI(""The city of the university that is in the next row"")"),"I do not have enough information to answer the query. I am missing the name of the university in the next row to determine its city.")</f>
        <v>I do not have enough information to answer the query. I am missing the name of the university in the next row to determine its city.</v>
      </c>
      <c r="D91" t="b">
        <v>0</v>
      </c>
      <c r="E91" t="b">
        <v>0</v>
      </c>
      <c r="G91" t="b">
        <v>0</v>
      </c>
      <c r="H91" t="b">
        <v>0</v>
      </c>
    </row>
    <row r="92">
      <c r="C92" t="str">
        <f>IFERROR(__xludf.DUMMYFUNCTION("AI(""The city of the university that is in the next row"")"),"=AI(""The city of the university that is in the next row"")")</f>
        <v>=AI("The city of the university that is in the next row")</v>
      </c>
      <c r="D92" t="b">
        <v>0</v>
      </c>
      <c r="E92" t="b">
        <v>0</v>
      </c>
      <c r="G92" t="b">
        <v>0</v>
      </c>
      <c r="H92" t="b">
        <v>0</v>
      </c>
    </row>
    <row r="93">
      <c r="C93" t="str">
        <f>IFERROR(__xludf.DUMMYFUNCTION("AI(""The city of the university that is in the next row"")"),"Leicester")</f>
        <v>Leicester</v>
      </c>
      <c r="D93" t="b">
        <v>0</v>
      </c>
      <c r="E93" t="b">
        <v>0</v>
      </c>
      <c r="G93" t="b">
        <v>0</v>
      </c>
      <c r="H93" t="b">
        <v>0</v>
      </c>
    </row>
    <row r="94">
      <c r="C94" t="str">
        <f>IFERROR(__xludf.DUMMYFUNCTION("AI(""The city of the university that is in the next row"")"),"I do not have enough information to determine the city because the university name in the next row is missing from the provided spreadsheet context.")</f>
        <v>I do not have enough information to determine the city because the university name in the next row is missing from the provided spreadsheet context.</v>
      </c>
      <c r="D94" t="b">
        <v>0</v>
      </c>
      <c r="E94" t="b">
        <v>0</v>
      </c>
      <c r="G94" t="b">
        <v>0</v>
      </c>
      <c r="H94" t="b">
        <v>0</v>
      </c>
    </row>
    <row r="95">
      <c r="C95" t="str">
        <f>IFERROR(__xludf.DUMMYFUNCTION("AI(""The city of the university that is in the next row"")"),"=AI(""The city of the university that is in the next row"")")</f>
        <v>=AI("The city of the university that is in the next row")</v>
      </c>
      <c r="D95" t="b">
        <v>0</v>
      </c>
      <c r="E95" t="b">
        <v>0</v>
      </c>
      <c r="G95" t="b">
        <v>0</v>
      </c>
      <c r="H95" t="b">
        <v>0</v>
      </c>
    </row>
    <row r="96">
      <c r="C96" t="str">
        <f>IFERROR(__xludf.DUMMYFUNCTION("AI(""The city of the university that is in the next row"")"),"=AI(""The city of the university that is in the next row"")")</f>
        <v>=AI("The city of the university that is in the next row")</v>
      </c>
      <c r="D96" t="b">
        <v>0</v>
      </c>
      <c r="E96" t="b">
        <v>0</v>
      </c>
      <c r="G96" t="b">
        <v>0</v>
      </c>
      <c r="H96" t="b">
        <v>0</v>
      </c>
    </row>
    <row r="97">
      <c r="C97" t="str">
        <f>IFERROR(__xludf.DUMMYFUNCTION("AI(""The city of the university that is in the next row"")"),"I do not have enough information to answer the query. I am missing the name of the university in this row to determine its city.")</f>
        <v>I do not have enough information to answer the query. I am missing the name of the university in this row to determine its city.</v>
      </c>
      <c r="D97" t="b">
        <v>0</v>
      </c>
      <c r="E97" t="b">
        <v>0</v>
      </c>
      <c r="G97" t="b">
        <v>0</v>
      </c>
      <c r="H97" t="b">
        <v>0</v>
      </c>
    </row>
    <row r="98">
      <c r="C98" t="str">
        <f>IFERROR(__xludf.DUMMYFUNCTION("AI(""The city of the university that is in the next row"")"),"I do not have enough information to answer the query. I am missing the table data for the next row (row 99) to determine its university and corresponding city.")</f>
        <v>I do not have enough information to answer the query. I am missing the table data for the next row (row 99) to determine its university and corresponding city.</v>
      </c>
      <c r="D98" t="b">
        <v>0</v>
      </c>
      <c r="E98" t="b">
        <v>0</v>
      </c>
      <c r="G98" t="b">
        <v>0</v>
      </c>
      <c r="H98" t="b">
        <v>0</v>
      </c>
    </row>
    <row r="99">
      <c r="C99" t="str">
        <f>IFERROR(__xludf.DUMMYFUNCTION("AI(""The city of the university that is in the next row"")"),"=AI(""The city of the university that is in the next row"")")</f>
        <v>=AI("The city of the university that is in the next row")</v>
      </c>
      <c r="D99" t="b">
        <v>0</v>
      </c>
      <c r="E99" t="b">
        <v>0</v>
      </c>
      <c r="G99" t="b">
        <v>0</v>
      </c>
      <c r="H99" t="b">
        <v>0</v>
      </c>
    </row>
    <row r="100">
      <c r="C100" t="str">
        <f>IFERROR(__xludf.DUMMYFUNCTION("AI(""The city of the university that is in the next row"")"),"I do not have enough information to answer the query. I am missing the university name in the next row (row 101) to determine its city.")</f>
        <v>I do not have enough information to answer the query. I am missing the university name in the next row (row 101) to determine its city.</v>
      </c>
      <c r="D100" t="b">
        <v>0</v>
      </c>
      <c r="E100" t="b">
        <v>0</v>
      </c>
      <c r="G100" t="b">
        <v>0</v>
      </c>
      <c r="H100" t="b">
        <v>0</v>
      </c>
    </row>
    <row r="101">
      <c r="C101" t="str">
        <f>IFERROR(__xludf.DUMMYFUNCTION("AI(""The city of the university that is in the next row"")"),"London")</f>
        <v>London</v>
      </c>
      <c r="D101" t="b">
        <v>0</v>
      </c>
      <c r="E101" t="b">
        <v>0</v>
      </c>
      <c r="G101" t="b">
        <v>0</v>
      </c>
      <c r="H101" t="b">
        <v>0</v>
      </c>
    </row>
    <row r="102">
      <c r="C102" t="str">
        <f>IFERROR(__xludf.DUMMYFUNCTION("AI(""The city of the university that is in the next row"")"),"=AI(""The city of the university that is in the next row"")")</f>
        <v>=AI("The city of the university that is in the next row")</v>
      </c>
      <c r="D102" t="b">
        <v>0</v>
      </c>
      <c r="E102" t="b">
        <v>0</v>
      </c>
      <c r="G102" t="b">
        <v>0</v>
      </c>
      <c r="H102" t="b">
        <v>0</v>
      </c>
    </row>
    <row r="103">
      <c r="C103" t="str">
        <f>IFERROR(__xludf.DUMMYFUNCTION("AI(""The city of the university that is in the next row"")"),"=AI(""The city of the university that is in the next row"")")</f>
        <v>=AI("The city of the university that is in the next row")</v>
      </c>
      <c r="D103" t="b">
        <v>0</v>
      </c>
      <c r="E103" t="b">
        <v>0</v>
      </c>
      <c r="G103" t="b">
        <v>0</v>
      </c>
      <c r="H103" t="b">
        <v>0</v>
      </c>
    </row>
    <row r="104">
      <c r="C104" t="str">
        <f>IFERROR(__xludf.DUMMYFUNCTION("AI(""The city of the university that is in the next row"")"),"I do not have enough information to answer the query. I am missing the name of the university for this row to determine its city.")</f>
        <v>I do not have enough information to answer the query. I am missing the name of the university for this row to determine its city.</v>
      </c>
      <c r="D104" t="b">
        <v>0</v>
      </c>
      <c r="E104" t="b">
        <v>0</v>
      </c>
      <c r="G104" t="b">
        <v>0</v>
      </c>
      <c r="H104" t="b">
        <v>0</v>
      </c>
    </row>
    <row r="105">
      <c r="C105" t="str">
        <f>IFERROR(__xludf.DUMMYFUNCTION("AI(""The city of the university that is in the next row"")"),"London")</f>
        <v>London</v>
      </c>
      <c r="D105" t="b">
        <v>0</v>
      </c>
      <c r="E105" t="b">
        <v>0</v>
      </c>
      <c r="G105" t="b">
        <v>0</v>
      </c>
      <c r="H105" t="b">
        <v>0</v>
      </c>
    </row>
    <row r="106">
      <c r="C106" t="str">
        <f>IFERROR(__xludf.DUMMYFUNCTION("AI(""The city of the university that is in the next row"")"),"I do not have enough information to answer the query. I am missing the university name for this row to determine its city.")</f>
        <v>I do not have enough information to answer the query. I am missing the university name for this row to determine its city.</v>
      </c>
      <c r="D106" t="b">
        <v>0</v>
      </c>
      <c r="E106" t="b">
        <v>0</v>
      </c>
      <c r="G106" t="b">
        <v>0</v>
      </c>
      <c r="H106" t="b">
        <v>0</v>
      </c>
    </row>
    <row r="107">
      <c r="C107" t="str">
        <f>IFERROR(__xludf.DUMMYFUNCTION("AI(""The city of the university that is in the next row"")"),"=AI(""The city of the university that is in the next row"")")</f>
        <v>=AI("The city of the university that is in the next row")</v>
      </c>
      <c r="D107" t="b">
        <v>0</v>
      </c>
      <c r="E107" t="b">
        <v>0</v>
      </c>
      <c r="G107" t="b">
        <v>0</v>
      </c>
      <c r="H107" t="b">
        <v>0</v>
      </c>
    </row>
    <row r="108">
      <c r="C108" t="str">
        <f>IFERROR(__xludf.DUMMYFUNCTION("AI(""The city of the university that is in the next row"")"),"=AI(""The city of the university that is in the next row"")")</f>
        <v>=AI("The city of the university that is in the next row")</v>
      </c>
      <c r="D108" t="b">
        <v>0</v>
      </c>
      <c r="E108" t="b">
        <v>0</v>
      </c>
      <c r="G108" t="b">
        <v>0</v>
      </c>
      <c r="H108" t="b">
        <v>0</v>
      </c>
    </row>
    <row r="109">
      <c r="C109" t="str">
        <f>IFERROR(__xludf.DUMMYFUNCTION("AI(""The city of the university that is in the next row"")"),"I do not have enough information to provide the city because the university name for the corresponding row (or the next row) is missing from the provided spreadsheet context. Please ensure the university name column is populated.")</f>
        <v>I do not have enough information to provide the city because the university name for the corresponding row (or the next row) is missing from the provided spreadsheet context. Please ensure the university name column is populated.</v>
      </c>
      <c r="D109" t="b">
        <v>0</v>
      </c>
      <c r="E109" t="b">
        <v>0</v>
      </c>
      <c r="G109" t="b">
        <v>0</v>
      </c>
      <c r="H109" t="b">
        <v>0</v>
      </c>
    </row>
    <row r="110">
      <c r="C110" t="str">
        <f>IFERROR(__xludf.DUMMYFUNCTION("AI(""The city of the university that is in the next row"")"),"I do not have enough information to answer the query. I am missing the university name for the row to determine its corresponding city.")</f>
        <v>I do not have enough information to answer the query. I am missing the university name for the row to determine its corresponding city.</v>
      </c>
      <c r="D110" t="b">
        <v>0</v>
      </c>
      <c r="E110" t="b">
        <v>0</v>
      </c>
      <c r="G110" t="b">
        <v>0</v>
      </c>
      <c r="H110" t="b">
        <v>0</v>
      </c>
    </row>
    <row r="111">
      <c r="C111" t="str">
        <f>IFERROR(__xludf.DUMMYFUNCTION("AI(""The city of the university that is in the next row"")"),"I do not have enough information to answer the query. I am missing the university name in the next row (row 112) to determine its city.")</f>
        <v>I do not have enough information to answer the query. I am missing the university name in the next row (row 112) to determine its city.</v>
      </c>
      <c r="D111" t="b">
        <v>0</v>
      </c>
      <c r="E111" t="b">
        <v>0</v>
      </c>
      <c r="G111" t="b">
        <v>0</v>
      </c>
      <c r="H111" t="b">
        <v>0</v>
      </c>
    </row>
    <row r="112">
      <c r="C112" t="str">
        <f>IFERROR(__xludf.DUMMYFUNCTION("AI(""The city of the university that is in the next row"")"),"Cambridge")</f>
        <v>Cambridge</v>
      </c>
      <c r="D112" t="b">
        <v>0</v>
      </c>
      <c r="E112" t="b">
        <v>0</v>
      </c>
      <c r="G112" t="b">
        <v>0</v>
      </c>
      <c r="H112" t="b">
        <v>0</v>
      </c>
    </row>
    <row r="113">
      <c r="C113" t="str">
        <f>IFERROR(__xludf.DUMMYFUNCTION("AI(""The city of the university that is in the next row"")"),"London")</f>
        <v>London</v>
      </c>
      <c r="D113" t="b">
        <v>0</v>
      </c>
      <c r="E113" t="b">
        <v>0</v>
      </c>
      <c r="G113" t="b">
        <v>0</v>
      </c>
      <c r="H113" t="b">
        <v>0</v>
      </c>
    </row>
    <row r="114">
      <c r="C114" t="str">
        <f>IFERROR(__xludf.DUMMYFUNCTION("AI(""The city of the university that is in the next row"")"),"Syracuse")</f>
        <v>Syracuse</v>
      </c>
      <c r="D114" t="b">
        <v>0</v>
      </c>
      <c r="E114" t="b">
        <v>0</v>
      </c>
      <c r="G114" t="b">
        <v>0</v>
      </c>
      <c r="H114" t="b">
        <v>0</v>
      </c>
    </row>
    <row r="115">
      <c r="C115" t="str">
        <f>IFERROR(__xludf.DUMMYFUNCTION("AI(""The city of the university that is in the next row"")"),"=AI(""The city of the university that is in the next row"")")</f>
        <v>=AI("The city of the university that is in the next row")</v>
      </c>
      <c r="D115" t="b">
        <v>0</v>
      </c>
      <c r="E115" t="b">
        <v>0</v>
      </c>
      <c r="G115" t="b">
        <v>0</v>
      </c>
      <c r="H115" t="b">
        <v>0</v>
      </c>
    </row>
    <row r="116">
      <c r="C116" t="str">
        <f>IFERROR(__xludf.DUMMYFUNCTION("AI(""The city of the university that is in the next row"")"),"I do not have enough information to answer the query. I am missing the name of the university in the next row (row 117) to determine its city.")</f>
        <v>I do not have enough information to answer the query. I am missing the name of the university in the next row (row 117) to determine its city.</v>
      </c>
      <c r="D116" t="b">
        <v>0</v>
      </c>
      <c r="E116" t="b">
        <v>0</v>
      </c>
      <c r="G116" t="b">
        <v>0</v>
      </c>
      <c r="H116" t="b">
        <v>0</v>
      </c>
    </row>
    <row r="117">
      <c r="C117" t="str">
        <f>IFERROR(__xludf.DUMMYFUNCTION("AI(""The city of the university that is in the next row"")"),"I do not have enough information to answer the query. I am missing the data for the university in the next row (row 118) to determine its city.")</f>
        <v>I do not have enough information to answer the query. I am missing the data for the university in the next row (row 118) to determine its city.</v>
      </c>
      <c r="D117" t="b">
        <v>0</v>
      </c>
      <c r="E117" t="b">
        <v>0</v>
      </c>
      <c r="G117" t="b">
        <v>0</v>
      </c>
      <c r="H117" t="b">
        <v>0</v>
      </c>
    </row>
    <row r="118">
      <c r="C118" t="str">
        <f>IFERROR(__xludf.DUMMYFUNCTION("AI(""The city of the university that is in the next row"")"),"=AI(""The city of the university that is in the next row"")")</f>
        <v>=AI("The city of the university that is in the next row")</v>
      </c>
      <c r="D118" t="b">
        <v>0</v>
      </c>
      <c r="E118" t="b">
        <v>0</v>
      </c>
      <c r="G118" t="b">
        <v>0</v>
      </c>
      <c r="H118" t="b">
        <v>0</v>
      </c>
    </row>
    <row r="119">
      <c r="C119" t="str">
        <f>IFERROR(__xludf.DUMMYFUNCTION("AI(""The city of the university that is in the next row"")"),"=AI(""The city of the university that is in the next row"")")</f>
        <v>=AI("The city of the university that is in the next row")</v>
      </c>
      <c r="D119" t="b">
        <v>0</v>
      </c>
      <c r="E119" t="b">
        <v>0</v>
      </c>
      <c r="G119" t="b">
        <v>0</v>
      </c>
      <c r="H119" t="b">
        <v>0</v>
      </c>
    </row>
    <row r="120">
      <c r="C120" t="str">
        <f>IFERROR(__xludf.DUMMYFUNCTION("AI(""The city of the university that is in the next row"")"),"I do not have enough information to answer the query. I am missing the university name for this row (cell B120) to determine its city.")</f>
        <v>I do not have enough information to answer the query. I am missing the university name for this row (cell B120) to determine its city.</v>
      </c>
      <c r="D120" t="b">
        <v>0</v>
      </c>
      <c r="E120" t="b">
        <v>0</v>
      </c>
      <c r="G120" t="b">
        <v>0</v>
      </c>
      <c r="H120" t="b">
        <v>0</v>
      </c>
    </row>
    <row r="121">
      <c r="C121" t="str">
        <f>IFERROR(__xludf.DUMMYFUNCTION("AI(""The city of the university that is in the next row"")"),"I do not have enough information to answer the query. I am missing the university name for this row to determine its city.")</f>
        <v>I do not have enough information to answer the query. I am missing the university name for this row to determine its city.</v>
      </c>
      <c r="D121" t="b">
        <v>0</v>
      </c>
      <c r="E121" t="b">
        <v>0</v>
      </c>
      <c r="G121" t="b">
        <v>0</v>
      </c>
      <c r="H121" t="b">
        <v>0</v>
      </c>
    </row>
    <row r="122">
      <c r="C122" t="str">
        <f>IFERROR(__xludf.DUMMYFUNCTION("AI(""The city of the university that is in the next row"")"),"=AI(""The city of the university that is in the next row"")")</f>
        <v>=AI("The city of the university that is in the next row")</v>
      </c>
      <c r="D122" t="b">
        <v>0</v>
      </c>
      <c r="E122" t="b">
        <v>0</v>
      </c>
      <c r="G122" t="b">
        <v>0</v>
      </c>
      <c r="H122" t="b">
        <v>0</v>
      </c>
    </row>
    <row r="123">
      <c r="C123" t="str">
        <f>IFERROR(__xludf.DUMMYFUNCTION("AI(""The city of the university that is in the next row"")"),"I do not have enough information to determine the city because the university name for this row (or the next row) is not visible in the provided context. Please include the UKUniversityName column data for this row to get the correct city.")</f>
        <v>I do not have enough information to determine the city because the university name for this row (or the next row) is not visible in the provided context. Please include the UKUniversityName column data for this row to get the correct city.</v>
      </c>
      <c r="D123" t="b">
        <v>0</v>
      </c>
      <c r="E123" t="b">
        <v>0</v>
      </c>
      <c r="G123" t="b">
        <v>0</v>
      </c>
      <c r="H123" t="b">
        <v>0</v>
      </c>
    </row>
    <row r="124">
      <c r="C124" t="str">
        <f>IFERROR(__xludf.DUMMYFUNCTION("AI(""The city of the university that is in the next row"")"),"London")</f>
        <v>London</v>
      </c>
      <c r="D124" t="b">
        <v>0</v>
      </c>
      <c r="E124" t="b">
        <v>0</v>
      </c>
      <c r="G124" t="b">
        <v>0</v>
      </c>
      <c r="H124" t="b">
        <v>0</v>
      </c>
    </row>
    <row r="125">
      <c r="C125" t="str">
        <f>IFERROR(__xludf.DUMMYFUNCTION("AI(""The city of the university that is in the next row"")"),"Reading")</f>
        <v>Reading</v>
      </c>
      <c r="D125" t="b">
        <v>0</v>
      </c>
      <c r="E125" t="b">
        <v>0</v>
      </c>
      <c r="G125" t="b">
        <v>0</v>
      </c>
      <c r="H125" t="b">
        <v>0</v>
      </c>
    </row>
    <row r="126">
      <c r="C126" t="str">
        <f>IFERROR(__xludf.DUMMYFUNCTION("AI(""The city of the university that is in the next row"")"),"I do not have enough information to answer the query. I am missing the university name in the next row (row 127) to determine its city.")</f>
        <v>I do not have enough information to answer the query. I am missing the university name in the next row (row 127) to determine its city.</v>
      </c>
      <c r="D126" t="b">
        <v>0</v>
      </c>
      <c r="E126" t="b">
        <v>0</v>
      </c>
      <c r="G126" t="b">
        <v>0</v>
      </c>
      <c r="H126" t="b">
        <v>0</v>
      </c>
    </row>
    <row r="127">
      <c r="C127" t="str">
        <f>IFERROR(__xludf.DUMMYFUNCTION("AI(""The city of the university that is in the next row"")"),"I do not have enough information to answer the query. I am missing the university name in the next row (row 128) to determine its city.")</f>
        <v>I do not have enough information to answer the query. I am missing the university name in the next row (row 128) to determine its city.</v>
      </c>
      <c r="D127" t="b">
        <v>0</v>
      </c>
      <c r="E127" t="b">
        <v>0</v>
      </c>
      <c r="G127" t="b">
        <v>0</v>
      </c>
      <c r="H127" t="b">
        <v>0</v>
      </c>
    </row>
    <row r="128">
      <c r="C128" t="str">
        <f>IFERROR(__xludf.DUMMYFUNCTION("AI(""The city of the university that is in the next row"")"),"=AI(""The city of the university that is in the next row"")")</f>
        <v>=AI("The city of the university that is in the next row")</v>
      </c>
      <c r="D128" t="b">
        <v>0</v>
      </c>
      <c r="E128" t="b">
        <v>0</v>
      </c>
      <c r="G128" t="b">
        <v>0</v>
      </c>
      <c r="H128" t="b">
        <v>0</v>
      </c>
    </row>
    <row r="129">
      <c r="C129" t="str">
        <f>IFERROR(__xludf.DUMMYFUNCTION("AI(""The city of the university that is in the next row"")"),"=AI(""The city of the university that is in the next row"")")</f>
        <v>=AI("The city of the university that is in the next row")</v>
      </c>
      <c r="D129" t="b">
        <v>0</v>
      </c>
      <c r="E129" t="b">
        <v>0</v>
      </c>
      <c r="G129" t="b">
        <v>0</v>
      </c>
      <c r="H129" t="b">
        <v>0</v>
      </c>
    </row>
    <row r="130">
      <c r="C130" t="str">
        <f>IFERROR(__xludf.DUMMYFUNCTION("AI(""The city of the university that is in the next row"")"),"I do not have enough information to answer the query. The name of the university for this row is missing from the provided spreadsheet context.")</f>
        <v>I do not have enough information to answer the query. The name of the university for this row is missing from the provided spreadsheet context.</v>
      </c>
      <c r="D130" t="b">
        <v>0</v>
      </c>
      <c r="E130" t="b">
        <v>0</v>
      </c>
      <c r="G130" t="b">
        <v>0</v>
      </c>
      <c r="H130" t="b">
        <v>0</v>
      </c>
    </row>
    <row r="131">
      <c r="C131" t="str">
        <f>IFERROR(__xludf.DUMMYFUNCTION("AI(""The city of the university that is in the next row"")"),"=AI(""The city of the university that is in the next row"")")</f>
        <v>=AI("The city of the university that is in the next row")</v>
      </c>
      <c r="D131" t="b">
        <v>0</v>
      </c>
      <c r="E131" t="b">
        <v>0</v>
      </c>
      <c r="G131" t="b">
        <v>0</v>
      </c>
      <c r="H131" t="b">
        <v>0</v>
      </c>
    </row>
    <row r="132">
      <c r="C132" t="str">
        <f>IFERROR(__xludf.DUMMYFUNCTION("AI(""The city of the university that is in the next row"")"),"I do not have enough information to answer the query. The name of the university for this row is missing from the provided spreadsheet context.")</f>
        <v>I do not have enough information to answer the query. The name of the university for this row is missing from the provided spreadsheet context.</v>
      </c>
      <c r="D132" t="b">
        <v>0</v>
      </c>
      <c r="E132" t="b">
        <v>0</v>
      </c>
      <c r="G132" t="b">
        <v>0</v>
      </c>
      <c r="H132" t="b">
        <v>0</v>
      </c>
    </row>
    <row r="133">
      <c r="C133" t="str">
        <f>IFERROR(__xludf.DUMMYFUNCTION("AI(""The city of the university that is in the next row"")"),"I do not have enough information to find the city of the university in the next row because the university name for row 134 is not included in the provided spreadsheet context. Please include the university name for the next row to get the correct city.")</f>
        <v>I do not have enough information to find the city of the university in the next row because the university name for row 134 is not included in the provided spreadsheet context. Please include the university name for the next row to get the correct city.</v>
      </c>
      <c r="D133" t="b">
        <v>0</v>
      </c>
      <c r="E133" t="b">
        <v>0</v>
      </c>
      <c r="G133" t="b">
        <v>0</v>
      </c>
      <c r="H133" t="b">
        <v>0</v>
      </c>
    </row>
    <row r="134">
      <c r="C134" t="str">
        <f>IFERROR(__xludf.DUMMYFUNCTION("AI(""The city of the university that is in the next row"")"),"I do not have enough information to answer the query. The name of the university in the next row is missing from the provided spreadsheet context.")</f>
        <v>I do not have enough information to answer the query. The name of the university in the next row is missing from the provided spreadsheet context.</v>
      </c>
      <c r="D134" t="b">
        <v>0</v>
      </c>
      <c r="E134" t="b">
        <v>0</v>
      </c>
      <c r="G134" t="b">
        <v>0</v>
      </c>
      <c r="H134" t="b">
        <v>0</v>
      </c>
    </row>
    <row r="135">
      <c r="C135" t="str">
        <f>IFERROR(__xludf.DUMMYFUNCTION("AI(""The city of the university that is in the next row"")"),"=AI(""The city of the university that is in the next row"")")</f>
        <v>=AI("The city of the university that is in the next row")</v>
      </c>
      <c r="D135" t="b">
        <v>0</v>
      </c>
      <c r="E135" t="b">
        <v>0</v>
      </c>
      <c r="G135" t="b">
        <v>0</v>
      </c>
      <c r="H135" t="b">
        <v>0</v>
      </c>
    </row>
    <row r="136">
      <c r="C136" t="str">
        <f>IFERROR(__xludf.DUMMYFUNCTION("AI(""The city of the university that is in the next row"")"),"I do not have enough information to answer the query. I am missing the university name for this row in column B to determine its city.")</f>
        <v>I do not have enough information to answer the query. I am missing the university name for this row in column B to determine its city.</v>
      </c>
      <c r="D136" t="b">
        <v>0</v>
      </c>
      <c r="E136" t="b">
        <v>0</v>
      </c>
      <c r="G136" t="b">
        <v>0</v>
      </c>
      <c r="H136" t="b">
        <v>0</v>
      </c>
    </row>
    <row r="137">
      <c r="C137" t="str">
        <f>IFERROR(__xludf.DUMMYFUNCTION("AI(""The city of the university that is in the next row"")"),"=AI(""The city of the university that is in the next row"")")</f>
        <v>=AI("The city of the university that is in the next row")</v>
      </c>
      <c r="D137" t="b">
        <v>0</v>
      </c>
      <c r="E137" t="b">
        <v>0</v>
      </c>
      <c r="G137" t="b">
        <v>0</v>
      </c>
      <c r="H137" t="b">
        <v>0</v>
      </c>
    </row>
    <row r="138">
      <c r="C138" t="str">
        <f>IFERROR(__xludf.DUMMYFUNCTION("AI(""The city of the university that is in the next row"")"),"=AI(""The city of the university that is in the next row"")")</f>
        <v>=AI("The city of the university that is in the next row")</v>
      </c>
      <c r="D138" t="b">
        <v>0</v>
      </c>
      <c r="E138" t="b">
        <v>0</v>
      </c>
      <c r="G138" t="b">
        <v>0</v>
      </c>
      <c r="H138" t="b">
        <v>0</v>
      </c>
    </row>
    <row r="139">
      <c r="C139" t="str">
        <f>IFERROR(__xludf.DUMMYFUNCTION("AI(""The city of the university that is in the next row"")"),"I do not have enough information to answer the query. I am missing the name of the university in the next row (row 140) to determine its city.")</f>
        <v>I do not have enough information to answer the query. I am missing the name of the university in the next row (row 140) to determine its city.</v>
      </c>
      <c r="D139" t="b">
        <v>0</v>
      </c>
      <c r="E139" t="b">
        <v>0</v>
      </c>
      <c r="G139" t="b">
        <v>0</v>
      </c>
      <c r="H139" t="b">
        <v>0</v>
      </c>
    </row>
    <row r="140">
      <c r="C140" t="str">
        <f>IFERROR(__xludf.DUMMYFUNCTION("AI(""The city of the university that is in the next row"")"),"I do not have enough information to determine the city because the university name for this row is not provided in the context.")</f>
        <v>I do not have enough information to determine the city because the university name for this row is not provided in the context.</v>
      </c>
      <c r="D140" t="b">
        <v>0</v>
      </c>
      <c r="E140" t="b">
        <v>0</v>
      </c>
      <c r="G140" t="b">
        <v>0</v>
      </c>
      <c r="H140" t="b">
        <v>0</v>
      </c>
    </row>
    <row r="141">
      <c r="C141" t="str">
        <f>IFERROR(__xludf.DUMMYFUNCTION("AI(""The city of the university that is in the next row"")"),"I do not have enough information to determine the city because the university name in the next row is not visible in the provided data.")</f>
        <v>I do not have enough information to determine the city because the university name in the next row is not visible in the provided data.</v>
      </c>
      <c r="D141" t="b">
        <v>0</v>
      </c>
      <c r="E141" t="b">
        <v>0</v>
      </c>
      <c r="G141" t="b">
        <v>0</v>
      </c>
      <c r="H141" t="b">
        <v>0</v>
      </c>
    </row>
    <row r="142">
      <c r="C142" t="str">
        <f>IFERROR(__xludf.DUMMYFUNCTION("AI(""The city of the university that is in the next row"")"),"I do not have enough information to answer the query. I am missing the university name for this row to determine its city.")</f>
        <v>I do not have enough information to answer the query. I am missing the university name for this row to determine its city.</v>
      </c>
      <c r="D142" t="b">
        <v>0</v>
      </c>
      <c r="E142" t="b">
        <v>0</v>
      </c>
      <c r="G142" t="b">
        <v>0</v>
      </c>
      <c r="H142" t="b">
        <v>0</v>
      </c>
    </row>
    <row r="143">
      <c r="C143" t="str">
        <f>IFERROR(__xludf.DUMMYFUNCTION("AI(""The city of the university that is in the next row"")"),"I do not have enough information to answer the query. I am missing the university name for the current or next row to determine its city.")</f>
        <v>I do not have enough information to answer the query. I am missing the university name for the current or next row to determine its city.</v>
      </c>
      <c r="D143" t="b">
        <v>0</v>
      </c>
      <c r="E143" t="b">
        <v>0</v>
      </c>
      <c r="G143" t="b">
        <v>0</v>
      </c>
      <c r="H143" t="b">
        <v>0</v>
      </c>
    </row>
    <row r="144">
      <c r="C144" t="str">
        <f>IFERROR(__xludf.DUMMYFUNCTION("AI(""The city of the university that is in the next row"")"),"I do not have enough information to answer the query. I am missing the university name for this row to determine its city.")</f>
        <v>I do not have enough information to answer the query. I am missing the university name for this row to determine its city.</v>
      </c>
      <c r="D144" t="b">
        <v>0</v>
      </c>
      <c r="E144" t="b">
        <v>0</v>
      </c>
      <c r="G144" t="b">
        <v>0</v>
      </c>
      <c r="H144" t="b">
        <v>0</v>
      </c>
    </row>
    <row r="145">
      <c r="C145" t="str">
        <f>IFERROR(__xludf.DUMMYFUNCTION("AI(""The city of the university that is in the next row"")"),"Colchester")</f>
        <v>Colchester</v>
      </c>
      <c r="D145" t="b">
        <v>0</v>
      </c>
      <c r="E145" t="b">
        <v>0</v>
      </c>
      <c r="G145" t="b">
        <v>0</v>
      </c>
      <c r="H145" t="b">
        <v>0</v>
      </c>
    </row>
    <row r="146">
      <c r="C146" t="str">
        <f>IFERROR(__xludf.DUMMYFUNCTION("AI(""The city of the university that is in the next row"")"),"London")</f>
        <v>London</v>
      </c>
      <c r="D146" t="b">
        <v>0</v>
      </c>
      <c r="E146" t="b">
        <v>0</v>
      </c>
      <c r="G146" t="b">
        <v>0</v>
      </c>
      <c r="H146" t="b">
        <v>0</v>
      </c>
    </row>
    <row r="147">
      <c r="C147" t="str">
        <f>IFERROR(__xludf.DUMMYFUNCTION("AI(""The city of the university that is in the next row"")"),"I do not have enough information to answer the query. I am missing the name of the university in row 148 to determine its city.")</f>
        <v>I do not have enough information to answer the query. I am missing the name of the university in row 148 to determine its city.</v>
      </c>
      <c r="D147" t="b">
        <v>0</v>
      </c>
      <c r="E147" t="b">
        <v>0</v>
      </c>
      <c r="G147" t="b">
        <v>0</v>
      </c>
      <c r="H147" t="b">
        <v>0</v>
      </c>
    </row>
    <row r="148">
      <c r="C148" t="str">
        <f>IFERROR(__xludf.DUMMYFUNCTION("AI(""The city of the university that is in the next row"")"),"Birmingham")</f>
        <v>Birmingham</v>
      </c>
      <c r="D148" t="b">
        <v>0</v>
      </c>
      <c r="E148" t="b">
        <v>0</v>
      </c>
      <c r="G148" t="b">
        <v>0</v>
      </c>
      <c r="H148" t="b">
        <v>0</v>
      </c>
    </row>
    <row r="149">
      <c r="C149" t="str">
        <f>IFERROR(__xludf.DUMMYFUNCTION("AI(""The city of the university that is in the next row"")"),"I do not have enough information to answer this query. I am missing the name of the university in the next row (row 150) to determine its city.")</f>
        <v>I do not have enough information to answer this query. I am missing the name of the university in the next row (row 150) to determine its city.</v>
      </c>
      <c r="D149" t="b">
        <v>0</v>
      </c>
      <c r="E149" t="b">
        <v>0</v>
      </c>
      <c r="G149" t="b">
        <v>0</v>
      </c>
      <c r="H149" t="b">
        <v>0</v>
      </c>
    </row>
    <row r="150">
      <c r="C150" t="str">
        <f>IFERROR(__xludf.DUMMYFUNCTION("AI(""The city of the university that is in the next row"")"),"I do not have enough information to answer the query. I am missing the name of the university for this row (column B) to determine its city.")</f>
        <v>I do not have enough information to answer the query. I am missing the name of the university for this row (column B) to determine its city.</v>
      </c>
      <c r="D150" t="b">
        <v>0</v>
      </c>
      <c r="E150" t="b">
        <v>0</v>
      </c>
      <c r="G150" t="b">
        <v>0</v>
      </c>
      <c r="H150" t="b">
        <v>0</v>
      </c>
    </row>
    <row r="151">
      <c r="C151" t="str">
        <f>IFERROR(__xludf.DUMMYFUNCTION("AI(""The city of the university that is in the next row"")"),"I do not have enough information to answer the query. I am missing the name of the university in the next row to determine its city.")</f>
        <v>I do not have enough information to answer the query. I am missing the name of the university in the next row to determine its city.</v>
      </c>
      <c r="D151" t="b">
        <v>0</v>
      </c>
      <c r="E151" t="b">
        <v>0</v>
      </c>
      <c r="G151" t="b">
        <v>0</v>
      </c>
      <c r="H151" t="b">
        <v>0</v>
      </c>
    </row>
    <row r="152">
      <c r="C152" t="str">
        <f>IFERROR(__xludf.DUMMYFUNCTION("AI(""The city of the university that is in the next row"")"),"=AI(""The city of the university that is in the next row"")")</f>
        <v>=AI("The city of the university that is in the next row")</v>
      </c>
      <c r="D152" t="b">
        <v>0</v>
      </c>
      <c r="E152" t="b">
        <v>0</v>
      </c>
      <c r="G152" t="b">
        <v>0</v>
      </c>
      <c r="H152" t="b">
        <v>0</v>
      </c>
    </row>
    <row r="153">
      <c r="C153" t="str">
        <f>IFERROR(__xludf.DUMMYFUNCTION("AI(""The city of the university that is in the next row"")"),"=AI(""The city of the university that is in the next row"")")</f>
        <v>=AI("The city of the university that is in the next row")</v>
      </c>
      <c r="D153" t="b">
        <v>0</v>
      </c>
      <c r="E153" t="b">
        <v>0</v>
      </c>
      <c r="G153" t="b">
        <v>0</v>
      </c>
      <c r="H153" t="b">
        <v>0</v>
      </c>
    </row>
    <row r="154">
      <c r="C154" t="str">
        <f>IFERROR(__xludf.DUMMYFUNCTION("AI(""The city of the university that is in the next row"")"),"I do not have enough information to answer the query. I am missing the name of the university for that row to determine its city.")</f>
        <v>I do not have enough information to answer the query. I am missing the name of the university for that row to determine its city.</v>
      </c>
      <c r="D154" t="b">
        <v>0</v>
      </c>
      <c r="E154" t="b">
        <v>0</v>
      </c>
      <c r="G154" t="b">
        <v>0</v>
      </c>
      <c r="H154" t="b">
        <v>0</v>
      </c>
    </row>
    <row r="155">
      <c r="C155" t="str">
        <f>IFERROR(__xludf.DUMMYFUNCTION("AI(""The city of the university that is in the next row"")"),"=AI(""The city of the university that is in the next row"")")</f>
        <v>=AI("The city of the university that is in the next row")</v>
      </c>
      <c r="D155" t="b">
        <v>0</v>
      </c>
      <c r="E155" t="b">
        <v>0</v>
      </c>
      <c r="G155" t="b">
        <v>0</v>
      </c>
      <c r="H155" t="b">
        <v>0</v>
      </c>
    </row>
    <row r="156">
      <c r="C156" t="str">
        <f>IFERROR(__xludf.DUMMYFUNCTION("AI(""The city of the university that is in the next row"")"),"Cambridge")</f>
        <v>Cambridge</v>
      </c>
      <c r="D156" t="b">
        <v>0</v>
      </c>
      <c r="E156" t="b">
        <v>0</v>
      </c>
      <c r="G156" t="b">
        <v>0</v>
      </c>
      <c r="H156" t="b">
        <v>0</v>
      </c>
    </row>
    <row r="157">
      <c r="C157" t="str">
        <f>IFERROR(__xludf.DUMMYFUNCTION("AI(""The city of the university that is in the next row"")"),"=AI(""The city of the university that is in the next row"")")</f>
        <v>=AI("The city of the university that is in the next row")</v>
      </c>
      <c r="D157" t="b">
        <v>0</v>
      </c>
      <c r="E157" t="b">
        <v>0</v>
      </c>
      <c r="G157" t="b">
        <v>0</v>
      </c>
      <c r="H157" t="b">
        <v>0</v>
      </c>
    </row>
    <row r="158">
      <c r="C158" t="str">
        <f>IFERROR(__xludf.DUMMYFUNCTION("AI(""The city of the university that is in the next row"")"),"I do not have enough information to provide the city because the university name for this row is missing from the provided context.")</f>
        <v>I do not have enough information to provide the city because the university name for this row is missing from the provided context.</v>
      </c>
      <c r="D158" t="b">
        <v>0</v>
      </c>
      <c r="E158" t="b">
        <v>0</v>
      </c>
      <c r="G158" t="b">
        <v>0</v>
      </c>
      <c r="H158" t="b">
        <v>0</v>
      </c>
    </row>
    <row r="159">
      <c r="C159" t="str">
        <f>IFERROR(__xludf.DUMMYFUNCTION("AI(""The city of the university that is in the next row"")"),"I do not have enough information to determine the city because the university name in the next row is not provided in the context.")</f>
        <v>I do not have enough information to determine the city because the university name in the next row is not provided in the context.</v>
      </c>
      <c r="D159" t="b">
        <v>0</v>
      </c>
      <c r="E159" t="b">
        <v>0</v>
      </c>
      <c r="G159" t="b">
        <v>0</v>
      </c>
      <c r="H159" t="b">
        <v>0</v>
      </c>
    </row>
    <row r="160">
      <c r="C160" t="str">
        <f>IFERROR(__xludf.DUMMYFUNCTION("AI(""The city of the university that is in the next row"")"),"I do not have enough information to answer the query. I am missing the name of the university in the next row (row 161) to determine its city.")</f>
        <v>I do not have enough information to answer the query. I am missing the name of the university in the next row (row 161) to determine its city.</v>
      </c>
      <c r="D160" t="b">
        <v>0</v>
      </c>
      <c r="E160" t="b">
        <v>0</v>
      </c>
      <c r="G160" t="b">
        <v>0</v>
      </c>
      <c r="H160" t="b">
        <v>0</v>
      </c>
    </row>
    <row r="161">
      <c r="C161" t="str">
        <f>IFERROR(__xludf.DUMMYFUNCTION("AI(""The city of the university that is in the next row"")"),"I do not have enough information to answer the query. I am missing the university name for this row to determine its city.")</f>
        <v>I do not have enough information to answer the query. I am missing the university name for this row to determine its city.</v>
      </c>
      <c r="D161" t="b">
        <v>0</v>
      </c>
      <c r="E161" t="b">
        <v>0</v>
      </c>
      <c r="G161" t="b">
        <v>0</v>
      </c>
      <c r="H161" t="b">
        <v>0</v>
      </c>
    </row>
    <row r="162">
      <c r="C162" t="str">
        <f>IFERROR(__xludf.DUMMYFUNCTION("AI(""The city of the university that is in the next row"")"),"=AI(""The city of the university that is in the next row"")")</f>
        <v>=AI("The city of the university that is in the next row")</v>
      </c>
      <c r="D162" t="b">
        <v>0</v>
      </c>
      <c r="E162" t="b">
        <v>0</v>
      </c>
      <c r="G162" t="b">
        <v>0</v>
      </c>
      <c r="H162" t="b">
        <v>0</v>
      </c>
    </row>
    <row r="163">
      <c r="C163" t="str">
        <f>IFERROR(__xludf.DUMMYFUNCTION("AI(""The city of the university that is in the next row"")"),"London")</f>
        <v>London</v>
      </c>
      <c r="D163" t="b">
        <v>0</v>
      </c>
      <c r="E163" t="b">
        <v>0</v>
      </c>
      <c r="G163" t="b">
        <v>0</v>
      </c>
      <c r="H163" t="b">
        <v>0</v>
      </c>
    </row>
    <row r="164">
      <c r="C164" t="str">
        <f>IFERROR(__xludf.DUMMYFUNCTION("AI(""The city of the university that is in the next row"")"),"I do not have enough information to answer the query because the university name for row 164 is not visible in the provided spreadsheet data.")</f>
        <v>I do not have enough information to answer the query because the university name for row 164 is not visible in the provided spreadsheet data.</v>
      </c>
      <c r="D164" t="b">
        <v>0</v>
      </c>
      <c r="E164" t="b">
        <v>0</v>
      </c>
      <c r="G164" t="b">
        <v>0</v>
      </c>
      <c r="H164" t="b">
        <v>0</v>
      </c>
    </row>
    <row r="165">
      <c r="C165" t="str">
        <f>IFERROR(__xludf.DUMMYFUNCTION("AI(""The city of the university that is in the next row"")"),"I do not have enough information to answer the query. I am missing the name of the university in the next row (row 166) to determine its city.")</f>
        <v>I do not have enough information to answer the query. I am missing the name of the university in the next row (row 166) to determine its city.</v>
      </c>
      <c r="D165" t="b">
        <v>0</v>
      </c>
      <c r="E165" t="b">
        <v>0</v>
      </c>
      <c r="G165" t="b">
        <v>0</v>
      </c>
      <c r="H165" t="b">
        <v>0</v>
      </c>
    </row>
    <row r="166">
      <c r="C166" t="str">
        <f>IFERROR(__xludf.DUMMYFUNCTION("AI(""The city of the university that is in the next row"")"),"=AI(""The city of the university that is in the next row"")")</f>
        <v>=AI("The city of the university that is in the next row")</v>
      </c>
      <c r="D166" t="b">
        <v>0</v>
      </c>
      <c r="E166" t="b">
        <v>0</v>
      </c>
      <c r="G166" t="b">
        <v>0</v>
      </c>
      <c r="H166" t="b">
        <v>0</v>
      </c>
    </row>
    <row r="167">
      <c r="C167" t="str">
        <f>IFERROR(__xludf.DUMMYFUNCTION("AI(""The city of the university that is in the next row"")"),"I do not have enough information to answer the query because the data for row 168 (the next row) is not visible in the provided spreadsheet context. Please include the university name for the next row to get the correct city.")</f>
        <v>I do not have enough information to answer the query because the data for row 168 (the next row) is not visible in the provided spreadsheet context. Please include the university name for the next row to get the correct city.</v>
      </c>
      <c r="D167" t="b">
        <v>0</v>
      </c>
      <c r="E167" t="b">
        <v>0</v>
      </c>
      <c r="G167" t="b">
        <v>0</v>
      </c>
      <c r="H167" t="b">
        <v>0</v>
      </c>
    </row>
    <row r="168">
      <c r="C168" t="str">
        <f>IFERROR(__xludf.DUMMYFUNCTION("AI(""The city of the university that is in the next row"")"),"=AI(""The city of the university that is in the next row"")")</f>
        <v>=AI("The city of the university that is in the next row")</v>
      </c>
      <c r="D168" t="b">
        <v>0</v>
      </c>
      <c r="E168" t="b">
        <v>0</v>
      </c>
      <c r="G168" t="b">
        <v>0</v>
      </c>
      <c r="H168" t="b">
        <v>0</v>
      </c>
    </row>
    <row r="169">
      <c r="C169" t="str">
        <f>IFERROR(__xludf.DUMMYFUNCTION("AI(""The city of the university that is in the next row"")"),"I do not have enough information to answer the query because the university name for the row is missing from the provided spreadsheet context.")</f>
        <v>I do not have enough information to answer the query because the university name for the row is missing from the provided spreadsheet context.</v>
      </c>
      <c r="D169" t="b">
        <v>0</v>
      </c>
      <c r="E169" t="b">
        <v>0</v>
      </c>
      <c r="G169" t="b">
        <v>0</v>
      </c>
      <c r="H169" t="b">
        <v>0</v>
      </c>
    </row>
    <row r="170">
      <c r="C170" t="str">
        <f>IFERROR(__xludf.DUMMYFUNCTION("AI(""The city of the university that is in the next row"")"),"I do not have enough information to answer the query. I am missing the name of the university in row 170 to determine its city.")</f>
        <v>I do not have enough information to answer the query. I am missing the name of the university in row 170 to determine its city.</v>
      </c>
      <c r="D170" t="b">
        <v>0</v>
      </c>
      <c r="E170" t="b">
        <v>0</v>
      </c>
      <c r="G170" t="b">
        <v>0</v>
      </c>
      <c r="H170" t="b">
        <v>0</v>
      </c>
    </row>
    <row r="171">
      <c r="C171" t="str">
        <f>IFERROR(__xludf.DUMMYFUNCTION("AI(""The city of the university that is in the next row"")"),"I do not have enough information to answer the query. I am missing the university name for the row to determine its city.")</f>
        <v>I do not have enough information to answer the query. I am missing the university name for the row to determine its city.</v>
      </c>
      <c r="D171" t="b">
        <v>0</v>
      </c>
      <c r="E171" t="b">
        <v>0</v>
      </c>
      <c r="G171" t="b">
        <v>0</v>
      </c>
      <c r="H171" t="b">
        <v>0</v>
      </c>
    </row>
    <row r="172">
      <c r="C172" t="str">
        <f>IFERROR(__xludf.DUMMYFUNCTION("AI(""The city of the university that is in the next row"")"),"I do not have enough information to answer the query. I am missing the university name for the row to determine its city.")</f>
        <v>I do not have enough information to answer the query. I am missing the university name for the row to determine its city.</v>
      </c>
      <c r="D172" t="b">
        <v>0</v>
      </c>
      <c r="E172" t="b">
        <v>0</v>
      </c>
      <c r="G172" t="b">
        <v>0</v>
      </c>
      <c r="H172" t="b">
        <v>0</v>
      </c>
    </row>
    <row r="173">
      <c r="C173" t="str">
        <f>IFERROR(__xludf.DUMMYFUNCTION("AI(""The city of the university that is in the next row"")"),"I do not have enough information to answer this query because the university name in the next row (row 174) is not visible in the provided spreadsheet context.")</f>
        <v>I do not have enough information to answer this query because the university name in the next row (row 174) is not visible in the provided spreadsheet context.</v>
      </c>
      <c r="D173" t="b">
        <v>0</v>
      </c>
      <c r="E173" t="b">
        <v>0</v>
      </c>
      <c r="G173" t="b">
        <v>0</v>
      </c>
      <c r="H173" t="b">
        <v>0</v>
      </c>
    </row>
    <row r="174">
      <c r="C174" t="str">
        <f>IFERROR(__xludf.DUMMYFUNCTION("AI(""The city of the university that is in the next row"")"),"Leeds")</f>
        <v>Leeds</v>
      </c>
      <c r="D174" t="b">
        <v>0</v>
      </c>
      <c r="E174" t="b">
        <v>0</v>
      </c>
      <c r="G174" t="b">
        <v>0</v>
      </c>
      <c r="H174" t="b">
        <v>0</v>
      </c>
    </row>
    <row r="175">
      <c r="C175" t="str">
        <f>IFERROR(__xludf.DUMMYFUNCTION("AI(""The city of the university that is in the next row"")"),"I do not have enough information to answer the query. I am missing the university name for row 175 to determine its city.")</f>
        <v>I do not have enough information to answer the query. I am missing the university name for row 175 to determine its city.</v>
      </c>
      <c r="D175" t="b">
        <v>0</v>
      </c>
      <c r="E175" t="b">
        <v>0</v>
      </c>
      <c r="G175" t="b">
        <v>0</v>
      </c>
      <c r="H175" t="b">
        <v>0</v>
      </c>
    </row>
    <row r="176">
      <c r="C176" t="str">
        <f>IFERROR(__xludf.DUMMYFUNCTION("AI(""The city of the university that is in the next row"")"),"I do not have enough information to determine the city because the university name in the next row (row 177) is not visible in the provided spreadsheet context. Please include the university name to get the correct city.")</f>
        <v>I do not have enough information to determine the city because the university name in the next row (row 177) is not visible in the provided spreadsheet context. Please include the university name to get the correct city.</v>
      </c>
      <c r="D176" t="b">
        <v>0</v>
      </c>
      <c r="E176" t="b">
        <v>0</v>
      </c>
      <c r="G176" t="b">
        <v>0</v>
      </c>
      <c r="H176" t="b">
        <v>0</v>
      </c>
    </row>
    <row r="177">
      <c r="C177" t="str">
        <f>IFERROR(__xludf.DUMMYFUNCTION("AI(""The city of the university that is in the next row"")"),"I do not have enough information to answer this query. I am missing the name of the university in the next row (row 178) to determine its city.")</f>
        <v>I do not have enough information to answer this query. I am missing the name of the university in the next row (row 178) to determine its city.</v>
      </c>
      <c r="D177" t="b">
        <v>0</v>
      </c>
      <c r="E177" t="b">
        <v>0</v>
      </c>
      <c r="G177" t="b">
        <v>0</v>
      </c>
      <c r="H177" t="b">
        <v>0</v>
      </c>
    </row>
    <row r="178">
      <c r="C178" t="str">
        <f>IFERROR(__xludf.DUMMYFUNCTION("AI(""The city of the university that is in the next row"")"),"I do not have enough information to answer this query because the name of the university in row 178 or row 179 is not visible in the provided spreadsheet context.")</f>
        <v>I do not have enough information to answer this query because the name of the university in row 178 or row 179 is not visible in the provided spreadsheet context.</v>
      </c>
      <c r="D178" t="b">
        <v>0</v>
      </c>
      <c r="E178" t="b">
        <v>0</v>
      </c>
      <c r="G178" t="b">
        <v>0</v>
      </c>
      <c r="H178" t="b">
        <v>0</v>
      </c>
    </row>
    <row r="179">
      <c r="C179" t="str">
        <f>IFERROR(__xludf.DUMMYFUNCTION("AI(""The city of the university that is in the next row"")"),"Leeds")</f>
        <v>Leeds</v>
      </c>
      <c r="D179" t="b">
        <v>0</v>
      </c>
      <c r="E179" t="b">
        <v>0</v>
      </c>
      <c r="G179" t="b">
        <v>0</v>
      </c>
      <c r="H179" t="b">
        <v>0</v>
      </c>
    </row>
    <row r="180">
      <c r="C180" t="str">
        <f>IFERROR(__xludf.DUMMYFUNCTION("AI(""The city of the university that is in the next row"")"),"I do not have enough information to answer this query because the university name in the next row (row 181) is missing from the provided context.")</f>
        <v>I do not have enough information to answer this query because the university name in the next row (row 181) is missing from the provided context.</v>
      </c>
      <c r="D180" t="b">
        <v>0</v>
      </c>
      <c r="E180" t="b">
        <v>0</v>
      </c>
      <c r="G180" t="b">
        <v>0</v>
      </c>
      <c r="H180" t="b">
        <v>0</v>
      </c>
    </row>
    <row r="181">
      <c r="C181" t="str">
        <f>IFERROR(__xludf.DUMMYFUNCTION("AI(""The city of the university that is in the next row"")"),"=AI(""The city of the university that is in the next row"")")</f>
        <v>=AI("The city of the university that is in the next row")</v>
      </c>
      <c r="D181" t="b">
        <v>0</v>
      </c>
      <c r="E181" t="b">
        <v>0</v>
      </c>
      <c r="G181" t="b">
        <v>0</v>
      </c>
      <c r="H181" t="b">
        <v>0</v>
      </c>
    </row>
    <row r="182">
      <c r="C182" t="str">
        <f>IFERROR(__xludf.DUMMYFUNCTION("AI(""The city of the university that is in the next row"")"),"I do not have enough information to answer the query. I am missing the university name in the next row (row 183) to determine its city.")</f>
        <v>I do not have enough information to answer the query. I am missing the university name in the next row (row 183) to determine its city.</v>
      </c>
      <c r="D182" t="b">
        <v>0</v>
      </c>
      <c r="E182" t="b">
        <v>0</v>
      </c>
      <c r="G182" t="b">
        <v>0</v>
      </c>
      <c r="H182" t="b">
        <v>0</v>
      </c>
    </row>
    <row r="183">
      <c r="C183" t="str">
        <f>IFERROR(__xludf.DUMMYFUNCTION("AI(""The city of the university that is in the next row"")"),"=AI(""The city of the university that is in the next row"")")</f>
        <v>=AI("The city of the university that is in the next row")</v>
      </c>
      <c r="D183" t="b">
        <v>0</v>
      </c>
      <c r="E183" t="b">
        <v>0</v>
      </c>
      <c r="G183" t="b">
        <v>0</v>
      </c>
      <c r="H183" t="b">
        <v>0</v>
      </c>
    </row>
    <row r="184">
      <c r="C184" t="str">
        <f>IFERROR(__xludf.DUMMYFUNCTION("AI(""The city of the university that is in the next row"")"),"I do not have enough information to answer the query. I am missing the data for row 185, specifically the university name, to determine its city.")</f>
        <v>I do not have enough information to answer the query. I am missing the data for row 185, specifically the university name, to determine its city.</v>
      </c>
      <c r="D184" t="b">
        <v>0</v>
      </c>
      <c r="E184" t="b">
        <v>0</v>
      </c>
      <c r="G184" t="b">
        <v>0</v>
      </c>
      <c r="H184" t="b">
        <v>0</v>
      </c>
    </row>
    <row r="185">
      <c r="C185" t="str">
        <f>IFERROR(__xludf.DUMMYFUNCTION("AI(""The city of the university that is in the next row"")"),"=AI(""The city of the university that is in the next row"")")</f>
        <v>=AI("The city of the university that is in the next row")</v>
      </c>
      <c r="D185" t="b">
        <v>0</v>
      </c>
      <c r="E185" t="b">
        <v>0</v>
      </c>
      <c r="G185" t="b">
        <v>0</v>
      </c>
      <c r="H185" t="b">
        <v>0</v>
      </c>
    </row>
    <row r="186">
      <c r="C186" t="str">
        <f>IFERROR(__xludf.DUMMYFUNCTION("AI(""The city of the university that is in the next row"")"),"I do not have enough information to answer the query. I am missing the university name in the next row (row 187) to determine its city.")</f>
        <v>I do not have enough information to answer the query. I am missing the university name in the next row (row 187) to determine its city.</v>
      </c>
      <c r="D186" t="b">
        <v>0</v>
      </c>
      <c r="E186" t="b">
        <v>0</v>
      </c>
      <c r="G186" t="b">
        <v>0</v>
      </c>
      <c r="H186" t="b">
        <v>0</v>
      </c>
    </row>
    <row r="187">
      <c r="C187" t="str">
        <f>IFERROR(__xludf.DUMMYFUNCTION("AI(""The city of the university that is in the next row"")"),"I do not have enough information to answer the query. I am missing the university name in row 188 to determine its city.")</f>
        <v>I do not have enough information to answer the query. I am missing the university name in row 188 to determine its city.</v>
      </c>
      <c r="D187" t="b">
        <v>0</v>
      </c>
      <c r="E187" t="b">
        <v>0</v>
      </c>
      <c r="G187" t="b">
        <v>0</v>
      </c>
      <c r="H187" t="b">
        <v>0</v>
      </c>
    </row>
    <row r="188">
      <c r="C188" t="str">
        <f>IFERROR(__xludf.DUMMYFUNCTION("AI(""The city of the university that is in the next row"")"),"Lincoln")</f>
        <v>Lincoln</v>
      </c>
      <c r="D188" t="b">
        <v>0</v>
      </c>
      <c r="E188" t="b">
        <v>0</v>
      </c>
      <c r="G188" t="b">
        <v>0</v>
      </c>
      <c r="H188" t="b">
        <v>0</v>
      </c>
    </row>
    <row r="189">
      <c r="C189" t="str">
        <f>IFERROR(__xludf.DUMMYFUNCTION("AI(""The city of the university that is in the next row"")"),"=AI(""The city of the university that is in the next row"")")</f>
        <v>=AI("The city of the university that is in the next row")</v>
      </c>
      <c r="D189" t="b">
        <v>0</v>
      </c>
      <c r="E189" t="b">
        <v>0</v>
      </c>
      <c r="G189" t="b">
        <v>0</v>
      </c>
      <c r="H189" t="b">
        <v>0</v>
      </c>
    </row>
    <row r="190">
      <c r="C190" t="str">
        <f>IFERROR(__xludf.DUMMYFUNCTION("AI(""The city of the university that is in the next row"")"),"I do not have enough information to answer the query. I am missing the university name for this row to determine its city.")</f>
        <v>I do not have enough information to answer the query. I am missing the university name for this row to determine its city.</v>
      </c>
      <c r="D190" t="b">
        <v>0</v>
      </c>
      <c r="E190" t="b">
        <v>0</v>
      </c>
      <c r="G190" t="b">
        <v>0</v>
      </c>
      <c r="H190" t="b">
        <v>0</v>
      </c>
    </row>
    <row r="191">
      <c r="C191" t="str">
        <f>IFERROR(__xludf.DUMMYFUNCTION("AI(""The city of the university that is in the next row"")"),"Nottingham")</f>
        <v>Nottingham</v>
      </c>
      <c r="D191" t="b">
        <v>0</v>
      </c>
      <c r="E191" t="b">
        <v>0</v>
      </c>
      <c r="G191" t="b">
        <v>0</v>
      </c>
      <c r="H191" t="b">
        <v>0</v>
      </c>
    </row>
    <row r="192">
      <c r="C192" t="str">
        <f>IFERROR(__xludf.DUMMYFUNCTION("AI(""The city of the university that is in the next row"")"),"London")</f>
        <v>London</v>
      </c>
      <c r="D192" t="b">
        <v>0</v>
      </c>
      <c r="E192" t="b">
        <v>0</v>
      </c>
      <c r="G192" t="b">
        <v>0</v>
      </c>
      <c r="H192" t="b">
        <v>0</v>
      </c>
    </row>
    <row r="193">
      <c r="C193" t="str">
        <f>IFERROR(__xludf.DUMMYFUNCTION("AI(""The city of the university that is in the next row"")"),"=AI(""The city of the university that is in the next row"")")</f>
        <v>=AI("The city of the university that is in the next row")</v>
      </c>
      <c r="D193" t="b">
        <v>0</v>
      </c>
      <c r="E193" t="b">
        <v>0</v>
      </c>
      <c r="G193" t="b">
        <v>0</v>
      </c>
      <c r="H193" t="b">
        <v>0</v>
      </c>
    </row>
    <row r="194">
      <c r="C194" t="str">
        <f>IFERROR(__xludf.DUMMYFUNCTION("AI(""The city of the university that is in the next row"")"),"=AI(""The city of the university that is in the next row"")")</f>
        <v>=AI("The city of the university that is in the next row")</v>
      </c>
      <c r="D194" t="b">
        <v>0</v>
      </c>
      <c r="E194" t="b">
        <v>0</v>
      </c>
      <c r="G194" t="b">
        <v>0</v>
      </c>
      <c r="H194" t="b">
        <v>0</v>
      </c>
    </row>
    <row r="195">
      <c r="C195" t="str">
        <f>IFERROR(__xludf.DUMMYFUNCTION("AI(""The city of the university that is in the next row"")"),"I do not have enough information to answer the query. The spreadsheet context does not provide the university name for row 195 or the subsequent row to determine its city.")</f>
        <v>I do not have enough information to answer the query. The spreadsheet context does not provide the university name for row 195 or the subsequent row to determine its city.</v>
      </c>
      <c r="D195" t="b">
        <v>0</v>
      </c>
      <c r="E195" t="b">
        <v>0</v>
      </c>
      <c r="G195" t="b">
        <v>0</v>
      </c>
      <c r="H195" t="b">
        <v>0</v>
      </c>
    </row>
    <row r="196">
      <c r="C196" t="str">
        <f>IFERROR(__xludf.DUMMYFUNCTION("AI(""The city of the university that is in the next row"")"),"I do not have enough information to determine the city because the university name for the corresponding row is missing from the provided context.")</f>
        <v>I do not have enough information to determine the city because the university name for the corresponding row is missing from the provided context.</v>
      </c>
      <c r="D196" t="b">
        <v>0</v>
      </c>
      <c r="E196" t="b">
        <v>0</v>
      </c>
      <c r="G196" t="b">
        <v>0</v>
      </c>
      <c r="H196" t="b">
        <v>0</v>
      </c>
    </row>
    <row r="197">
      <c r="C197" t="str">
        <f>IFERROR(__xludf.DUMMYFUNCTION("AI(""The city of the university that is in the next row"")"),"=AI(""The city of the university that is in the next row"")")</f>
        <v>=AI("The city of the university that is in the next row")</v>
      </c>
      <c r="D197" t="b">
        <v>0</v>
      </c>
      <c r="E197" t="b">
        <v>0</v>
      </c>
      <c r="G197" t="b">
        <v>0</v>
      </c>
      <c r="H197" t="b">
        <v>0</v>
      </c>
    </row>
    <row r="198">
      <c r="C198" t="str">
        <f>IFERROR(__xludf.DUMMYFUNCTION("AI(""The city of the university that is in the next row"")"),"I do not have enough information to answer the query. I am missing the university name for this row to determine its city.")</f>
        <v>I do not have enough information to answer the query. I am missing the university name for this row to determine its city.</v>
      </c>
      <c r="D198" t="b">
        <v>0</v>
      </c>
      <c r="E198" t="b">
        <v>0</v>
      </c>
      <c r="G198" t="b">
        <v>0</v>
      </c>
      <c r="H198" t="b">
        <v>0</v>
      </c>
    </row>
    <row r="199">
      <c r="C199" t="str">
        <f>IFERROR(__xludf.DUMMYFUNCTION("AI(""The city of the university that is in the next row"")"),"I do not have enough information to answer the query. I am missing the university name for row 199 to determine its city.")</f>
        <v>I do not have enough information to answer the query. I am missing the university name for row 199 to determine its city.</v>
      </c>
      <c r="D199" t="b">
        <v>0</v>
      </c>
      <c r="E199" t="b">
        <v>0</v>
      </c>
      <c r="G199" t="b">
        <v>0</v>
      </c>
      <c r="H199" t="b">
        <v>0</v>
      </c>
    </row>
    <row r="200">
      <c r="C200" t="str">
        <f>IFERROR(__xludf.DUMMYFUNCTION("AI(""The city of the university that is in the next row"")"),"I do not have enough information to answer the query. I am missing the name of the university in the next row (row 201) to determine its city.")</f>
        <v>I do not have enough information to answer the query. I am missing the name of the university in the next row (row 201) to determine its city.</v>
      </c>
      <c r="D200" t="b">
        <v>0</v>
      </c>
      <c r="E200" t="b">
        <v>0</v>
      </c>
      <c r="G200" t="b">
        <v>0</v>
      </c>
      <c r="H200" t="b">
        <v>0</v>
      </c>
    </row>
    <row r="201">
      <c r="C201" t="str">
        <f>IFERROR(__xludf.DUMMYFUNCTION("AI(""The city of the university that is in the next row"")"),"I do not have enough information to answer the query. I am missing the university name for this row to determine its city.")</f>
        <v>I do not have enough information to answer the query. I am missing the university name for this row to determine its city.</v>
      </c>
      <c r="D201" t="b">
        <v>0</v>
      </c>
      <c r="E201" t="b">
        <v>0</v>
      </c>
      <c r="G201" t="b">
        <v>0</v>
      </c>
      <c r="H201" t="b">
        <v>0</v>
      </c>
    </row>
    <row r="202">
      <c r="C202" t="str">
        <f>IFERROR(__xludf.DUMMYFUNCTION("AI(""The city of the university that is in the next row"")"),"I do not have enough information to answer the query. I am missing the university name for this row to determine its city.")</f>
        <v>I do not have enough information to answer the query. I am missing the university name for this row to determine its city.</v>
      </c>
      <c r="D202" t="b">
        <v>0</v>
      </c>
      <c r="E202" t="b">
        <v>0</v>
      </c>
      <c r="G202" t="b">
        <v>0</v>
      </c>
      <c r="H202" t="b">
        <v>0</v>
      </c>
    </row>
    <row r="203">
      <c r="C203" t="str">
        <f>IFERROR(__xludf.DUMMYFUNCTION("AI(""The city of the university that is in the next row"")"),"I do not have enough information to answer the query because the university name for the next row (row 204) is missing from the provided context.")</f>
        <v>I do not have enough information to answer the query because the university name for the next row (row 204) is missing from the provided context.</v>
      </c>
      <c r="D203" t="b">
        <v>0</v>
      </c>
      <c r="E203" t="b">
        <v>0</v>
      </c>
      <c r="G203" t="b">
        <v>0</v>
      </c>
      <c r="H203" t="b">
        <v>0</v>
      </c>
    </row>
    <row r="204">
      <c r="C204" t="str">
        <f>IFERROR(__xludf.DUMMYFUNCTION("AI(""The city of the university that is in the next row"")"),"I do not have enough information to answer the query. I am missing the university name in the subsequent rows to determine its city.")</f>
        <v>I do not have enough information to answer the query. I am missing the university name in the subsequent rows to determine its city.</v>
      </c>
      <c r="D204" t="b">
        <v>0</v>
      </c>
      <c r="E204" t="b">
        <v>0</v>
      </c>
      <c r="G204" t="b">
        <v>0</v>
      </c>
      <c r="H204" t="b">
        <v>0</v>
      </c>
    </row>
    <row r="205">
      <c r="C205" t="str">
        <f>IFERROR(__xludf.DUMMYFUNCTION("AI(""The city of the university that is in the next row"")"),"I do not have enough information to answer the query. The spreadsheet context does not provide the university name for the next row (row 206) to determine its city.")</f>
        <v>I do not have enough information to answer the query. The spreadsheet context does not provide the university name for the next row (row 206) to determine its city.</v>
      </c>
      <c r="D205" t="b">
        <v>0</v>
      </c>
      <c r="E205" t="b">
        <v>0</v>
      </c>
      <c r="G205" t="b">
        <v>0</v>
      </c>
      <c r="H205" t="b">
        <v>0</v>
      </c>
    </row>
    <row r="206">
      <c r="C206" t="str">
        <f>IFERROR(__xludf.DUMMYFUNCTION("AI(""The city of the university that is in the next row"")"),"I do not have enough information to answer the query. I am missing the university name for this row to determine its city.")</f>
        <v>I do not have enough information to answer the query. I am missing the university name for this row to determine its city.</v>
      </c>
      <c r="D206" t="b">
        <v>0</v>
      </c>
      <c r="E206" t="b">
        <v>0</v>
      </c>
      <c r="G206" t="b">
        <v>0</v>
      </c>
      <c r="H206" t="b">
        <v>0</v>
      </c>
    </row>
    <row r="207">
      <c r="C207" t="str">
        <f>IFERROR(__xludf.DUMMYFUNCTION("AI(""The city of the university that is in the next row"")"),"I do not have enough information to answer this query. I am missing the data for the university name in the next row (row 208) to determine its city.")</f>
        <v>I do not have enough information to answer this query. I am missing the data for the university name in the next row (row 208) to determine its city.</v>
      </c>
      <c r="D207" t="b">
        <v>0</v>
      </c>
      <c r="E207" t="b">
        <v>0</v>
      </c>
      <c r="G207" t="b">
        <v>0</v>
      </c>
      <c r="H207" t="b">
        <v>0</v>
      </c>
    </row>
    <row r="208">
      <c r="C208" t="str">
        <f>IFERROR(__xludf.DUMMYFUNCTION("AI(""The city of the university that is in the next row"")"),"I do not have enough information to answer the query. I am missing the university name for this row to determine its city.")</f>
        <v>I do not have enough information to answer the query. I am missing the university name for this row to determine its city.</v>
      </c>
      <c r="D208" t="b">
        <v>0</v>
      </c>
      <c r="E208" t="b">
        <v>0</v>
      </c>
      <c r="G208" t="b">
        <v>0</v>
      </c>
      <c r="H208" t="b">
        <v>0</v>
      </c>
    </row>
    <row r="209">
      <c r="C209" t="str">
        <f>IFERROR(__xludf.DUMMYFUNCTION("AI(""The city of the university that is in the next row"")"),"I do not have enough information to provide the city because the university name for the current or next row is not visible in the provided spreadsheet context. Please include the UKUniversityName column data for this row to get the correct city.")</f>
        <v>I do not have enough information to provide the city because the university name for the current or next row is not visible in the provided spreadsheet context. Please include the UKUniversityName column data for this row to get the correct city.</v>
      </c>
      <c r="D209" t="b">
        <v>0</v>
      </c>
      <c r="E209" t="b">
        <v>0</v>
      </c>
      <c r="G209" t="b">
        <v>0</v>
      </c>
      <c r="H209" t="b">
        <v>0</v>
      </c>
    </row>
    <row r="210">
      <c r="C210" t="str">
        <f>IFERROR(__xludf.DUMMYFUNCTION("AI(""The city of the university that is in the next row"")"),"I do not have enough information to answer the query. I am missing the name of the university in the next row (row 211) to determine its city.")</f>
        <v>I do not have enough information to answer the query. I am missing the name of the university in the next row (row 211) to determine its city.</v>
      </c>
      <c r="D210" t="b">
        <v>0</v>
      </c>
      <c r="E210" t="b">
        <v>0</v>
      </c>
      <c r="G210" t="b">
        <v>0</v>
      </c>
      <c r="H210" t="b">
        <v>0</v>
      </c>
    </row>
    <row r="211">
      <c r="C211" t="str">
        <f>IFERROR(__xludf.DUMMYFUNCTION("AI(""The city of the university that is in the next row"")"),"St Andrews")</f>
        <v>St Andrews</v>
      </c>
      <c r="D211" t="b">
        <v>0</v>
      </c>
      <c r="E211" t="b">
        <v>0</v>
      </c>
      <c r="G211" t="b">
        <v>0</v>
      </c>
      <c r="H211" t="b">
        <v>0</v>
      </c>
    </row>
    <row r="212">
      <c r="C212" t="str">
        <f>IFERROR(__xludf.DUMMYFUNCTION("AI(""The city of the university that is in the next row"")"),"=AI(""The city of the university that is in the next row"")")</f>
        <v>=AI("The city of the university that is in the next row")</v>
      </c>
      <c r="D212" t="b">
        <v>0</v>
      </c>
      <c r="E212" t="b">
        <v>0</v>
      </c>
      <c r="G212" t="b">
        <v>0</v>
      </c>
      <c r="H212" t="b">
        <v>0</v>
      </c>
    </row>
    <row r="213">
      <c r="C213" t="str">
        <f>IFERROR(__xludf.DUMMYFUNCTION("AI(""The city of the university that is in the next row"")"),"I do not have enough information to answer the query. I am missing the name of the university in the next row (row 214) to determine its city.")</f>
        <v>I do not have enough information to answer the query. I am missing the name of the university in the next row (row 214) to determine its city.</v>
      </c>
      <c r="D213" t="b">
        <v>0</v>
      </c>
      <c r="E213" t="b">
        <v>0</v>
      </c>
      <c r="G213" t="b">
        <v>0</v>
      </c>
      <c r="H213" t="b">
        <v>0</v>
      </c>
    </row>
    <row r="214">
      <c r="C214" t="str">
        <f>IFERROR(__xludf.DUMMYFUNCTION("AI(""The city of the university that is in the next row"")"),"Aberdeen")</f>
        <v>Aberdeen</v>
      </c>
      <c r="D214" t="b">
        <v>0</v>
      </c>
      <c r="E214" t="b">
        <v>0</v>
      </c>
      <c r="G214" t="b">
        <v>0</v>
      </c>
      <c r="H214" t="b">
        <v>0</v>
      </c>
    </row>
    <row r="215">
      <c r="C215" t="str">
        <f>IFERROR(__xludf.DUMMYFUNCTION("AI(""The city of the university that is in the next row"")"),"I do not have enough information to answer the query because the university name in the next row (row 216) is not visible in the provided spreadsheet context.")</f>
        <v>I do not have enough information to answer the query because the university name in the next row (row 216) is not visible in the provided spreadsheet context.</v>
      </c>
      <c r="D215" t="b">
        <v>0</v>
      </c>
      <c r="E215" t="b">
        <v>0</v>
      </c>
      <c r="G215" t="b">
        <v>0</v>
      </c>
      <c r="H215" t="b">
        <v>0</v>
      </c>
    </row>
    <row r="216">
      <c r="C216" t="str">
        <f>IFERROR(__xludf.DUMMYFUNCTION("AI(""The city of the university that is in the next row"")"),"I do not have enough information to answer the query. I am missing the university name for the row to determine its city.")</f>
        <v>I do not have enough information to answer the query. I am missing the university name for the row to determine its city.</v>
      </c>
      <c r="D216" t="b">
        <v>0</v>
      </c>
      <c r="E216" t="b">
        <v>0</v>
      </c>
      <c r="G216" t="b">
        <v>0</v>
      </c>
      <c r="H216" t="b">
        <v>0</v>
      </c>
    </row>
    <row r="217">
      <c r="C217" t="str">
        <f>IFERROR(__xludf.DUMMYFUNCTION("AI(""The city of the university that is in the next row"")"),"=AI(""The city of the university that is in the next row"")")</f>
        <v>=AI("The city of the university that is in the next row")</v>
      </c>
      <c r="D217" t="b">
        <v>0</v>
      </c>
      <c r="E217" t="b">
        <v>0</v>
      </c>
      <c r="G217" t="b">
        <v>0</v>
      </c>
      <c r="H217" t="b">
        <v>0</v>
      </c>
    </row>
    <row r="218">
      <c r="C218" t="str">
        <f>IFERROR(__xludf.DUMMYFUNCTION("AI(""The city of the university that is in the next row"")"),"I do not have enough information to answer this query. I am missing the name of the university for the row in order to determine its city.")</f>
        <v>I do not have enough information to answer this query. I am missing the name of the university for the row in order to determine its city.</v>
      </c>
      <c r="D218" t="b">
        <v>0</v>
      </c>
      <c r="E218" t="b">
        <v>0</v>
      </c>
      <c r="G218" t="b">
        <v>0</v>
      </c>
      <c r="H218" t="b">
        <v>0</v>
      </c>
    </row>
    <row r="219">
      <c r="C219" t="str">
        <f>IFERROR(__xludf.DUMMYFUNCTION("AI(""The city of the university that is in the next row"")"),"I do not have enough information to answer the query. I am missing the data for row 220, specifically the name of the university in that row, to determine its city.")</f>
        <v>I do not have enough information to answer the query. I am missing the data for row 220, specifically the name of the university in that row, to determine its city.</v>
      </c>
      <c r="D219" t="b">
        <v>0</v>
      </c>
      <c r="E219" t="b">
        <v>0</v>
      </c>
      <c r="G219" t="b">
        <v>0</v>
      </c>
      <c r="H219" t="b">
        <v>0</v>
      </c>
    </row>
    <row r="220">
      <c r="C220" t="str">
        <f>IFERROR(__xludf.DUMMYFUNCTION("AI(""The city of the university that is in the next row"")"),"I do not have enough information to provide the city because the university name in the next row (row 221) is missing from the provided context. Please include the data for row 221 to get the correct city.")</f>
        <v>I do not have enough information to provide the city because the university name in the next row (row 221) is missing from the provided context. Please include the data for row 221 to get the correct city.</v>
      </c>
      <c r="D220" t="b">
        <v>0</v>
      </c>
      <c r="E220" t="b">
        <v>0</v>
      </c>
      <c r="G220" t="b">
        <v>0</v>
      </c>
      <c r="H220" t="b">
        <v>0</v>
      </c>
    </row>
    <row r="221">
      <c r="C221" t="str">
        <f>IFERROR(__xludf.DUMMYFUNCTION("AI(""The city of the university that is in the next row"")"),"I do not have enough information to answer the query. I am missing the university name in the next row (row 222) to determine its city.")</f>
        <v>I do not have enough information to answer the query. I am missing the university name in the next row (row 222) to determine its city.</v>
      </c>
      <c r="D221" t="b">
        <v>0</v>
      </c>
      <c r="E221" t="b">
        <v>0</v>
      </c>
      <c r="G221" t="b">
        <v>0</v>
      </c>
      <c r="H221" t="b">
        <v>0</v>
      </c>
    </row>
    <row r="222">
      <c r="C222" t="str">
        <f>IFERROR(__xludf.DUMMYFUNCTION("AI(""The city of the university that is in the next row"")"),"I do not have enough information to answer the query. I am missing the university name in the next row (row 223) to determine its city.")</f>
        <v>I do not have enough information to answer the query. I am missing the university name in the next row (row 223) to determine its city.</v>
      </c>
      <c r="D222" t="b">
        <v>0</v>
      </c>
      <c r="E222" t="b">
        <v>0</v>
      </c>
      <c r="G222" t="b">
        <v>0</v>
      </c>
      <c r="H222" t="b">
        <v>0</v>
      </c>
    </row>
    <row r="223">
      <c r="C223" t="str">
        <f>IFERROR(__xludf.DUMMYFUNCTION("AI(""The city of the university that is in the next row"")"),"I do not have enough information to answer the query. The spreadsheet context does not provide the name of the university in the next row, which is required to determine its city.")</f>
        <v>I do not have enough information to answer the query. The spreadsheet context does not provide the name of the university in the next row, which is required to determine its city.</v>
      </c>
      <c r="D223" t="b">
        <v>0</v>
      </c>
      <c r="E223" t="b">
        <v>0</v>
      </c>
      <c r="G223" t="b">
        <v>0</v>
      </c>
      <c r="H223" t="b">
        <v>0</v>
      </c>
    </row>
    <row r="224">
      <c r="C224" t="str">
        <f>IFERROR(__xludf.DUMMYFUNCTION("AI(""The city of the university that is in the next row"")"),"I do not have enough information to answer the query. I am missing the data for the university name in the next row (row 225) to determine its city.")</f>
        <v>I do not have enough information to answer the query. I am missing the data for the university name in the next row (row 225) to determine its city.</v>
      </c>
      <c r="D224" t="b">
        <v>0</v>
      </c>
      <c r="E224" t="b">
        <v>0</v>
      </c>
      <c r="G224" t="b">
        <v>0</v>
      </c>
      <c r="H224" t="b">
        <v>0</v>
      </c>
    </row>
    <row r="225">
      <c r="C225" t="str">
        <f>IFERROR(__xludf.DUMMYFUNCTION("AI(""The city of the university that is in the next row"")"),"I do not have enough information to determine the city because the university name for the next row (row 226) is not provided in the spreadsheet context.")</f>
        <v>I do not have enough information to determine the city because the university name for the next row (row 226) is not provided in the spreadsheet context.</v>
      </c>
      <c r="D225" t="b">
        <v>0</v>
      </c>
      <c r="E225" t="b">
        <v>0</v>
      </c>
      <c r="G225" t="b">
        <v>0</v>
      </c>
      <c r="H225" t="b">
        <v>0</v>
      </c>
    </row>
    <row r="226">
      <c r="C226" t="str">
        <f>IFERROR(__xludf.DUMMYFUNCTION("AI(""The city of the university that is in the next row"")"),"I do not have enough information to answer the query. I am missing the data for the university name in the next row (row 227) to determine its city.")</f>
        <v>I do not have enough information to answer the query. I am missing the data for the university name in the next row (row 227) to determine its city.</v>
      </c>
      <c r="D226" t="b">
        <v>0</v>
      </c>
      <c r="E226" t="b">
        <v>0</v>
      </c>
      <c r="G226" t="b">
        <v>0</v>
      </c>
      <c r="H226" t="b">
        <v>0</v>
      </c>
    </row>
    <row r="227">
      <c r="C227" t="str">
        <f>IFERROR(__xludf.DUMMYFUNCTION("AI(""The city of the university that is in the next row"")"),"I do not have enough information to answer the query. I am missing the data for the university name in row 228 to determine its city.")</f>
        <v>I do not have enough information to answer the query. I am missing the data for the university name in row 228 to determine its city.</v>
      </c>
      <c r="D227" t="b">
        <v>0</v>
      </c>
      <c r="E227" t="b">
        <v>0</v>
      </c>
      <c r="G227" t="b">
        <v>0</v>
      </c>
      <c r="H227" t="b">
        <v>0</v>
      </c>
    </row>
    <row r="228">
      <c r="C228" t="str">
        <f>IFERROR(__xludf.DUMMYFUNCTION("AI(""The city of the university that is in the next row"")"),"=AI(""The city of the university that is in the next row"")")</f>
        <v>=AI("The city of the university that is in the next row")</v>
      </c>
      <c r="D228" t="b">
        <v>0</v>
      </c>
      <c r="E228" t="b">
        <v>0</v>
      </c>
      <c r="G228" t="b">
        <v>0</v>
      </c>
      <c r="H228" t="b">
        <v>0</v>
      </c>
    </row>
    <row r="229">
      <c r="C229" t="str">
        <f>IFERROR(__xludf.DUMMYFUNCTION("AI(""The city of the university that is in the next row"")"),"I do not have enough information to determine the city because the university name in the next row (row 230) is missing from the provided data. Please provide the university name for row 230.")</f>
        <v>I do not have enough information to determine the city because the university name in the next row (row 230) is missing from the provided data. Please provide the university name for row 230.</v>
      </c>
      <c r="D229" t="b">
        <v>0</v>
      </c>
      <c r="E229" t="b">
        <v>0</v>
      </c>
      <c r="G229" t="b">
        <v>0</v>
      </c>
      <c r="H229" t="b">
        <v>0</v>
      </c>
    </row>
    <row r="230">
      <c r="C230" t="str">
        <f>IFERROR(__xludf.DUMMYFUNCTION("AI(""The city of the university that is in the next row"")"),"I do not have enough information to answer the query. I am missing the data for the next row (row 231) to determine the university name and its corresponding city.")</f>
        <v>I do not have enough information to answer the query. I am missing the data for the next row (row 231) to determine the university name and its corresponding city.</v>
      </c>
      <c r="D230" t="b">
        <v>0</v>
      </c>
      <c r="E230" t="b">
        <v>0</v>
      </c>
      <c r="G230" t="b">
        <v>0</v>
      </c>
      <c r="H230" t="b">
        <v>0</v>
      </c>
    </row>
    <row r="231">
      <c r="C231" t="str">
        <f>IFERROR(__xludf.DUMMYFUNCTION("AI(""The city of the university that is in the next row"")"),"I do not have enough information to answer the query. I am missing the name of the university in the next row to determine its city.")</f>
        <v>I do not have enough information to answer the query. I am missing the name of the university in the next row to determine its city.</v>
      </c>
      <c r="D231" t="b">
        <v>0</v>
      </c>
      <c r="E231" t="b">
        <v>0</v>
      </c>
      <c r="G231" t="b">
        <v>0</v>
      </c>
      <c r="H231" t="b">
        <v>0</v>
      </c>
    </row>
    <row r="232">
      <c r="C232" t="str">
        <f>IFERROR(__xludf.DUMMYFUNCTION("AI(""The city of the university that is in the next row"")"),"I do not have enough information to answer the query. I am missing the university name for this row to determine its city.")</f>
        <v>I do not have enough information to answer the query. I am missing the university name for this row to determine its city.</v>
      </c>
      <c r="D232" t="b">
        <v>0</v>
      </c>
      <c r="E232" t="b">
        <v>0</v>
      </c>
      <c r="G232" t="b">
        <v>0</v>
      </c>
      <c r="H232" t="b">
        <v>0</v>
      </c>
    </row>
    <row r="233">
      <c r="C233" t="str">
        <f>IFERROR(__xludf.DUMMYFUNCTION("AI(""The city of the university that is in the next row"")"),"Buckingham")</f>
        <v>Buckingham</v>
      </c>
      <c r="D233" t="b">
        <v>0</v>
      </c>
      <c r="E233" t="b">
        <v>0</v>
      </c>
      <c r="G233" t="b">
        <v>0</v>
      </c>
      <c r="H233" t="b">
        <v>0</v>
      </c>
    </row>
    <row r="234">
      <c r="C234" t="str">
        <f>IFERROR(__xludf.DUMMYFUNCTION("AI(""The city of the university that is in the next row"")"),"I do not have enough information to answer this query. The university name for the next row (row 235) is missing from the spreadsheet context, which is required to determine its city.")</f>
        <v>I do not have enough information to answer this query. The university name for the next row (row 235) is missing from the spreadsheet context, which is required to determine its city.</v>
      </c>
      <c r="D234" t="b">
        <v>0</v>
      </c>
      <c r="E234" t="b">
        <v>0</v>
      </c>
      <c r="G234" t="b">
        <v>0</v>
      </c>
      <c r="H234" t="b">
        <v>0</v>
      </c>
    </row>
    <row r="235">
      <c r="C235" t="str">
        <f>IFERROR(__xludf.DUMMYFUNCTION("AI(""The city of the university that is in the next row"")"),"=AI(""The city of the university that is in the next row"")")</f>
        <v>=AI("The city of the university that is in the next row")</v>
      </c>
      <c r="D235" t="b">
        <v>0</v>
      </c>
      <c r="E235" t="b">
        <v>0</v>
      </c>
      <c r="G235" t="b">
        <v>0</v>
      </c>
      <c r="H235" t="b">
        <v>0</v>
      </c>
    </row>
    <row r="236">
      <c r="C236" t="str">
        <f>IFERROR(__xludf.DUMMYFUNCTION("AI(""The city of the university that is in the next row"")"),"=AI(""The city of the university that is in the next row"")")</f>
        <v>=AI("The city of the university that is in the next row")</v>
      </c>
      <c r="D236" t="b">
        <v>0</v>
      </c>
      <c r="E236" t="b">
        <v>0</v>
      </c>
      <c r="G236" t="b">
        <v>0</v>
      </c>
      <c r="H236" t="b">
        <v>0</v>
      </c>
    </row>
    <row r="237">
      <c r="C237" t="str">
        <f>IFERROR(__xludf.DUMMYFUNCTION("AI(""The city of the university that is in the next row"")"),"I do not have enough information to answer the query. I am missing the data for the next row (row 238) to determine its university and city.")</f>
        <v>I do not have enough information to answer the query. I am missing the data for the next row (row 238) to determine its university and city.</v>
      </c>
      <c r="D237" t="b">
        <v>0</v>
      </c>
      <c r="E237" t="b">
        <v>0</v>
      </c>
      <c r="G237" t="b">
        <v>0</v>
      </c>
      <c r="H237" t="b">
        <v>0</v>
      </c>
    </row>
    <row r="238">
      <c r="C238" t="str">
        <f>IFERROR(__xludf.DUMMYFUNCTION("AI(""The city of the university that is in the next row"")"),"I do not have enough information to answer the query. I am missing the university name in the next row (row 239) to determine its city.")</f>
        <v>I do not have enough information to answer the query. I am missing the university name in the next row (row 239) to determine its city.</v>
      </c>
      <c r="D238" t="b">
        <v>0</v>
      </c>
      <c r="E238" t="b">
        <v>0</v>
      </c>
      <c r="G238" t="b">
        <v>0</v>
      </c>
      <c r="H238" t="b">
        <v>0</v>
      </c>
    </row>
    <row r="239">
      <c r="C239" t="str">
        <f>IFERROR(__xludf.DUMMYFUNCTION("AI(""The city of the university that is in the next row"")"),"I do not have enough information to answer the query. I am missing the university name for this row to determine its city.")</f>
        <v>I do not have enough information to answer the query. I am missing the university name for this row to determine its city.</v>
      </c>
      <c r="D239" t="b">
        <v>0</v>
      </c>
      <c r="E239" t="b">
        <v>0</v>
      </c>
      <c r="G239" t="b">
        <v>0</v>
      </c>
      <c r="H239" t="b">
        <v>0</v>
      </c>
    </row>
    <row r="240">
      <c r="C240" t="str">
        <f>IFERROR(__xludf.DUMMYFUNCTION("AI(""The city of the university that is in the next row"")"),"I do not have enough information to answer the query because the data for the next row (row 241), specifically the university name, is missing from the provided spreadsheet context.")</f>
        <v>I do not have enough information to answer the query because the data for the next row (row 241), specifically the university name, is missing from the provided spreadsheet context.</v>
      </c>
      <c r="D240" t="b">
        <v>0</v>
      </c>
      <c r="E240" t="b">
        <v>0</v>
      </c>
      <c r="G240" t="b">
        <v>0</v>
      </c>
      <c r="H240" t="b">
        <v>0</v>
      </c>
    </row>
    <row r="241">
      <c r="C241" t="str">
        <f>IFERROR(__xludf.DUMMYFUNCTION("AI(""The city of the university that is in the next row"")"),"I do not have enough information to answer the query. The spreadsheet row for row 241 is currently blank in the `UKUniversityName` column, so I cannot determine the city without knowing which university is in that row.")</f>
        <v>I do not have enough information to answer the query. The spreadsheet row for row 241 is currently blank in the `UKUniversityName` column, so I cannot determine the city without knowing which university is in that row.</v>
      </c>
      <c r="D241" t="b">
        <v>0</v>
      </c>
      <c r="E241" t="b">
        <v>0</v>
      </c>
      <c r="G241" t="b">
        <v>0</v>
      </c>
      <c r="H241" t="b">
        <v>0</v>
      </c>
    </row>
    <row r="242">
      <c r="C242" t="str">
        <f>IFERROR(__xludf.DUMMYFUNCTION("AI(""The city of the university that is in the next row"")"),"Guildford")</f>
        <v>Guildford</v>
      </c>
      <c r="D242" t="b">
        <v>0</v>
      </c>
      <c r="E242" t="b">
        <v>0</v>
      </c>
      <c r="G242" t="b">
        <v>0</v>
      </c>
      <c r="H242" t="b">
        <v>0</v>
      </c>
    </row>
    <row r="243">
      <c r="C243" t="str">
        <f>IFERROR(__xludf.DUMMYFUNCTION("AI(""The city of the university that is in the next row"")"),"I do not have enough information to answer the query. The university name for row 243 is missing from the provided data, which is required to determine its city.")</f>
        <v>I do not have enough information to answer the query. The university name for row 243 is missing from the provided data, which is required to determine its city.</v>
      </c>
      <c r="D243" t="b">
        <v>0</v>
      </c>
      <c r="E243" t="b">
        <v>0</v>
      </c>
      <c r="G243" t="b">
        <v>0</v>
      </c>
      <c r="H243" t="b">
        <v>0</v>
      </c>
    </row>
    <row r="244">
      <c r="C244" t="str">
        <f>IFERROR(__xludf.DUMMYFUNCTION("AI(""The city of the university that is in the next row"")"),"I do not have enough information to answer the query. I am missing the name of the university in row 245 to determine its city.")</f>
        <v>I do not have enough information to answer the query. I am missing the name of the university in row 245 to determine its city.</v>
      </c>
      <c r="D244" t="b">
        <v>0</v>
      </c>
      <c r="E244" t="b">
        <v>0</v>
      </c>
      <c r="G244" t="b">
        <v>0</v>
      </c>
      <c r="H244" t="b">
        <v>0</v>
      </c>
    </row>
    <row r="245">
      <c r="C245" t="str">
        <f>IFERROR(__xludf.DUMMYFUNCTION("AI(""The city of the university that is in the next row"")"),"I do not have enough information to answer the query. I am missing the university name in row 246 to determine its city.")</f>
        <v>I do not have enough information to answer the query. I am missing the university name in row 246 to determine its city.</v>
      </c>
      <c r="D245" t="b">
        <v>0</v>
      </c>
      <c r="E245" t="b">
        <v>0</v>
      </c>
      <c r="G245" t="b">
        <v>0</v>
      </c>
      <c r="H245" t="b">
        <v>0</v>
      </c>
    </row>
    <row r="246">
      <c r="C246" t="str">
        <f>IFERROR(__xludf.DUMMYFUNCTION("AI(""The city of the university that is in the next row"")"),"=AI(""The city of the university that is in the next row"")")</f>
        <v>=AI("The city of the university that is in the next row")</v>
      </c>
      <c r="D246" t="b">
        <v>0</v>
      </c>
      <c r="E246" t="b">
        <v>0</v>
      </c>
      <c r="G246" t="b">
        <v>0</v>
      </c>
      <c r="H246" t="b">
        <v>0</v>
      </c>
    </row>
    <row r="247">
      <c r="C247" t="str">
        <f>IFERROR(__xludf.DUMMYFUNCTION("AI(""The city of the university that is in the next row"")"),"I do not have enough information to answer the query. I am missing the university name or data for row 248 to determine its city.")</f>
        <v>I do not have enough information to answer the query. I am missing the university name or data for row 248 to determine its city.</v>
      </c>
      <c r="D247" t="b">
        <v>0</v>
      </c>
      <c r="E247" t="b">
        <v>0</v>
      </c>
      <c r="G247" t="b">
        <v>0</v>
      </c>
      <c r="H247" t="b">
        <v>0</v>
      </c>
    </row>
    <row r="248">
      <c r="C248" t="str">
        <f>IFERROR(__xludf.DUMMYFUNCTION("AI(""The city of the university that is in the next row"")"),"I do not have enough information to answer this query. I need the name of the university in the next row to determine its city.")</f>
        <v>I do not have enough information to answer this query. I need the name of the university in the next row to determine its city.</v>
      </c>
      <c r="D248" t="b">
        <v>0</v>
      </c>
      <c r="E248" t="b">
        <v>0</v>
      </c>
      <c r="G248" t="b">
        <v>0</v>
      </c>
      <c r="H248" t="b">
        <v>0</v>
      </c>
    </row>
    <row r="249">
      <c r="C249" t="str">
        <f>IFERROR(__xludf.DUMMYFUNCTION("AI(""The city of the university that is in the next row"")"),"I do not have enough information to answer the query. I am missing the data for the university name in the subsequent row (row 250) to determine its city.")</f>
        <v>I do not have enough information to answer the query. I am missing the data for the university name in the subsequent row (row 250) to determine its city.</v>
      </c>
      <c r="D249" t="b">
        <v>0</v>
      </c>
      <c r="E249" t="b">
        <v>0</v>
      </c>
      <c r="G249" t="b">
        <v>0</v>
      </c>
      <c r="H249" t="b">
        <v>0</v>
      </c>
    </row>
    <row r="250">
      <c r="C250" t="str">
        <f>IFERROR(__xludf.DUMMYFUNCTION("AI(""The city of the university that is in the next row"")"),"=AI(""The city of the university that is in the next row"")")</f>
        <v>=AI("The city of the university that is in the next row")</v>
      </c>
      <c r="D250" t="b">
        <v>0</v>
      </c>
      <c r="E250" t="b">
        <v>0</v>
      </c>
      <c r="G250" t="b">
        <v>0</v>
      </c>
      <c r="H250" t="b">
        <v>0</v>
      </c>
    </row>
    <row r="251">
      <c r="C251" t="str">
        <f>IFERROR(__xludf.DUMMYFUNCTION("AI(""The city of the university that is in the next row"")"),"I do not have enough information to answer the query. The spreadsheet context provided does not include the university name for the next row (row 252) to determine its city.")</f>
        <v>I do not have enough information to answer the query. The spreadsheet context provided does not include the university name for the next row (row 252) to determine its city.</v>
      </c>
      <c r="D251" t="b">
        <v>0</v>
      </c>
      <c r="E251" t="b">
        <v>0</v>
      </c>
      <c r="G251" t="b">
        <v>0</v>
      </c>
      <c r="H251" t="b">
        <v>0</v>
      </c>
    </row>
    <row r="252">
      <c r="C252" t="str">
        <f>IFERROR(__xludf.DUMMYFUNCTION("AI(""The city of the university that is in the next row"")"),"I do not have enough information to answer the query. I am missing the university name in the row below (row 253) to determine its city.")</f>
        <v>I do not have enough information to answer the query. I am missing the university name in the row below (row 253) to determine its city.</v>
      </c>
      <c r="D252" t="b">
        <v>0</v>
      </c>
      <c r="E252" t="b">
        <v>0</v>
      </c>
      <c r="G252" t="b">
        <v>0</v>
      </c>
      <c r="H252" t="b">
        <v>0</v>
      </c>
    </row>
    <row r="253">
      <c r="C253" t="str">
        <f>IFERROR(__xludf.DUMMYFUNCTION("AI(""The city of the university that is in the next row"")"),"I do not have enough information to answer the query. I am missing the name of the university in the next row (row 254) to determine its city.")</f>
        <v>I do not have enough information to answer the query. I am missing the name of the university in the next row (row 254) to determine its city.</v>
      </c>
      <c r="D253" t="b">
        <v>0</v>
      </c>
      <c r="E253" t="b">
        <v>0</v>
      </c>
      <c r="G253" t="b">
        <v>0</v>
      </c>
      <c r="H253" t="b">
        <v>0</v>
      </c>
    </row>
    <row r="254">
      <c r="C254" t="str">
        <f>IFERROR(__xludf.DUMMYFUNCTION("AI(""The city of the university that is in the next row"")"),"London")</f>
        <v>London</v>
      </c>
      <c r="D254" t="b">
        <v>0</v>
      </c>
      <c r="E254" t="b">
        <v>0</v>
      </c>
      <c r="G254" t="b">
        <v>0</v>
      </c>
      <c r="H254" t="b">
        <v>0</v>
      </c>
    </row>
    <row r="255">
      <c r="C255" t="str">
        <f>IFERROR(__xludf.DUMMYFUNCTION("AI(""The city of the university that is in the next row"")"),"I do not have enough information to answer the query. I need the name of the university in the next row (row 256) to determine its city.")</f>
        <v>I do not have enough information to answer the query. I need the name of the university in the next row (row 256) to determine its city.</v>
      </c>
      <c r="D255" t="b">
        <v>0</v>
      </c>
      <c r="E255" t="b">
        <v>0</v>
      </c>
      <c r="G255" t="b">
        <v>0</v>
      </c>
      <c r="H255" t="b">
        <v>0</v>
      </c>
    </row>
    <row r="256">
      <c r="C256" t="str">
        <f>IFERROR(__xludf.DUMMYFUNCTION("AI(""The city of the university that is in the next row"")"),"I do not have enough information to answer the query. I am missing the data for the university name in the next row (row 257) to determine its city.")</f>
        <v>I do not have enough information to answer the query. I am missing the data for the university name in the next row (row 257) to determine its city.</v>
      </c>
      <c r="D256" t="b">
        <v>0</v>
      </c>
      <c r="E256" t="b">
        <v>0</v>
      </c>
      <c r="G256" t="b">
        <v>0</v>
      </c>
      <c r="H256" t="b">
        <v>0</v>
      </c>
    </row>
    <row r="257">
      <c r="C257" t="str">
        <f>IFERROR(__xludf.DUMMYFUNCTION("AI(""The city of the university that is in the next row"")"),"I do not have enough information to determine the city because the university name in the next row is not visible in the provided context.")</f>
        <v>I do not have enough information to determine the city because the university name in the next row is not visible in the provided context.</v>
      </c>
      <c r="D257" t="b">
        <v>0</v>
      </c>
      <c r="E257" t="b">
        <v>0</v>
      </c>
      <c r="G257" t="b">
        <v>0</v>
      </c>
      <c r="H257" t="b">
        <v>0</v>
      </c>
    </row>
    <row r="258">
      <c r="C258" t="str">
        <f>IFERROR(__xludf.DUMMYFUNCTION("AI(""The city of the university that is in the next row"")"),"Bristol")</f>
        <v>Bristol</v>
      </c>
      <c r="D258" t="b">
        <v>0</v>
      </c>
      <c r="E258" t="b">
        <v>0</v>
      </c>
      <c r="G258" t="b">
        <v>0</v>
      </c>
      <c r="H258" t="b">
        <v>0</v>
      </c>
    </row>
    <row r="259">
      <c r="C259" t="str">
        <f>IFERROR(__xludf.DUMMYFUNCTION("AI(""The city of the university that is in the next row"")"),"I do not have enough information to answer the query. I am missing the name of the university for this row to determine its city.")</f>
        <v>I do not have enough information to answer the query. I am missing the name of the university for this row to determine its city.</v>
      </c>
      <c r="D259" t="b">
        <v>0</v>
      </c>
      <c r="E259" t="b">
        <v>0</v>
      </c>
      <c r="G259" t="b">
        <v>0</v>
      </c>
      <c r="H259" t="b">
        <v>0</v>
      </c>
    </row>
    <row r="260">
      <c r="C260" t="str">
        <f>IFERROR(__xludf.DUMMYFUNCTION("AI(""The city of the university that is in the next row"")"),"I do not have enough information to determine the city because the university name for this row is missing from the provided context.")</f>
        <v>I do not have enough information to determine the city because the university name for this row is missing from the provided context.</v>
      </c>
      <c r="D260" t="b">
        <v>0</v>
      </c>
      <c r="E260" t="b">
        <v>0</v>
      </c>
      <c r="G260" t="b">
        <v>0</v>
      </c>
      <c r="H260" t="b">
        <v>0</v>
      </c>
    </row>
    <row r="261">
      <c r="C261" t="str">
        <f>IFERROR(__xludf.DUMMYFUNCTION("AI(""The city of the university that is in the next row"")"),"I do not have enough information to provide the city because the university name for row 261 or 262 is not visible in the provided spreadsheet context. Please include the UKUniversityName column data for these rows.")</f>
        <v>I do not have enough information to provide the city because the university name for row 261 or 262 is not visible in the provided spreadsheet context. Please include the UKUniversityName column data for these rows.</v>
      </c>
      <c r="D261" t="b">
        <v>0</v>
      </c>
      <c r="E261" t="b">
        <v>0</v>
      </c>
      <c r="G261" t="b">
        <v>0</v>
      </c>
      <c r="H261" t="b">
        <v>0</v>
      </c>
    </row>
    <row r="262">
      <c r="C262" t="str">
        <f>IFERROR(__xludf.DUMMYFUNCTION("AI(""The city of the university that is in the next row"")"),"I do not have enough information to answer the query. I am missing the name of the university to determine its city.")</f>
        <v>I do not have enough information to answer the query. I am missing the name of the university to determine its city.</v>
      </c>
      <c r="D262" t="b">
        <v>0</v>
      </c>
      <c r="E262" t="b">
        <v>0</v>
      </c>
      <c r="G262" t="b">
        <v>0</v>
      </c>
      <c r="H262" t="b">
        <v>0</v>
      </c>
    </row>
    <row r="263">
      <c r="C263" t="str">
        <f>IFERROR(__xludf.DUMMYFUNCTION("AI(""The city of the university that is in the next row"")"),"=AI(""The city of the university that is in the next row"")")</f>
        <v>=AI("The city of the university that is in the next row")</v>
      </c>
      <c r="D263" t="b">
        <v>0</v>
      </c>
      <c r="E263" t="b">
        <v>0</v>
      </c>
      <c r="G263" t="b">
        <v>0</v>
      </c>
      <c r="H263" t="b">
        <v>0</v>
      </c>
    </row>
    <row r="264">
      <c r="C264" t="str">
        <f>IFERROR(__xludf.DUMMYFUNCTION("AI(""The city of the university that is in the next row"")"),"=AI(""The city of the university that is in the next row"")")</f>
        <v>=AI("The city of the university that is in the next row")</v>
      </c>
      <c r="D264" t="b">
        <v>0</v>
      </c>
      <c r="E264" t="b">
        <v>0</v>
      </c>
      <c r="G264" t="b">
        <v>0</v>
      </c>
      <c r="H264" t="b">
        <v>0</v>
      </c>
    </row>
    <row r="265">
      <c r="C265" t="str">
        <f>IFERROR(__xludf.DUMMYFUNCTION("AI(""The city of the university that is in the next row"")"),"I do not have enough information to answer the query. I am missing the university name for row 265 to determine its city.")</f>
        <v>I do not have enough information to answer the query. I am missing the university name for row 265 to determine its city.</v>
      </c>
      <c r="D265" t="b">
        <v>0</v>
      </c>
      <c r="E265" t="b">
        <v>0</v>
      </c>
      <c r="G265" t="b">
        <v>0</v>
      </c>
      <c r="H265" t="b">
        <v>0</v>
      </c>
    </row>
    <row r="266">
      <c r="C266" t="str">
        <f>IFERROR(__xludf.DUMMYFUNCTION("AI(""The city of the university that is in the next row"")"),"I do not have enough information to answer this query. The spreadsheet context does not provide the university name for row 266 or the subsequent rows, which is needed to determine the city.")</f>
        <v>I do not have enough information to answer this query. The spreadsheet context does not provide the university name for row 266 or the subsequent rows, which is needed to determine the city.</v>
      </c>
      <c r="D266" t="b">
        <v>0</v>
      </c>
      <c r="E266" t="b">
        <v>0</v>
      </c>
      <c r="G266" t="b">
        <v>0</v>
      </c>
      <c r="H266" t="b">
        <v>0</v>
      </c>
    </row>
    <row r="267">
      <c r="C267" t="str">
        <f>IFERROR(__xludf.DUMMYFUNCTION("AI(""The city of the university that is in the next row"")"),"I do not have enough information to answer this query. I am missing the university name in the next row (row 268) to determine its city.")</f>
        <v>I do not have enough information to answer this query. I am missing the university name in the next row (row 268) to determine its city.</v>
      </c>
      <c r="D267" t="b">
        <v>0</v>
      </c>
      <c r="E267" t="b">
        <v>0</v>
      </c>
      <c r="G267" t="b">
        <v>0</v>
      </c>
      <c r="H267" t="b">
        <v>0</v>
      </c>
    </row>
    <row r="268">
      <c r="C268" t="str">
        <f>IFERROR(__xludf.DUMMYFUNCTION("AI(""The city of the university that is in the next row"")"),"I do not have enough information to answer the query. I am missing the university name in the next row (row 269) to determine its city.")</f>
        <v>I do not have enough information to answer the query. I am missing the university name in the next row (row 269) to determine its city.</v>
      </c>
      <c r="D268" t="b">
        <v>0</v>
      </c>
      <c r="E268" t="b">
        <v>0</v>
      </c>
      <c r="G268" t="b">
        <v>0</v>
      </c>
      <c r="H268" t="b">
        <v>0</v>
      </c>
    </row>
    <row r="269">
      <c r="C269" t="str">
        <f>IFERROR(__xludf.DUMMYFUNCTION("AI(""The city of the university that is in the next row"")"),"=AI(""The city of the university that is in the next row"")")</f>
        <v>=AI("The city of the university that is in the next row")</v>
      </c>
      <c r="D269" t="b">
        <v>0</v>
      </c>
      <c r="E269" t="b">
        <v>0</v>
      </c>
      <c r="G269" t="b">
        <v>0</v>
      </c>
      <c r="H269" t="b">
        <v>0</v>
      </c>
    </row>
    <row r="270">
      <c r="C270" t="str">
        <f>IFERROR(__xludf.DUMMYFUNCTION("AI(""The city of the university that is in the next row"")"),"I do not have enough information to answer the query. I am missing the university name for this row to determine its city.")</f>
        <v>I do not have enough information to answer the query. I am missing the university name for this row to determine its city.</v>
      </c>
      <c r="D270" t="b">
        <v>0</v>
      </c>
      <c r="E270" t="b">
        <v>0</v>
      </c>
      <c r="G270" t="b">
        <v>0</v>
      </c>
      <c r="H270" t="b">
        <v>0</v>
      </c>
    </row>
    <row r="271">
      <c r="C271" t="str">
        <f>IFERROR(__xludf.DUMMYFUNCTION("AI(""The city of the university that is in the next row"")"),"I do not have enough information to determine the city because the university name for this row is missing from the provided context.")</f>
        <v>I do not have enough information to determine the city because the university name for this row is missing from the provided context.</v>
      </c>
      <c r="D271" t="b">
        <v>0</v>
      </c>
      <c r="E271" t="b">
        <v>0</v>
      </c>
      <c r="G271" t="b">
        <v>0</v>
      </c>
      <c r="H271" t="b">
        <v>0</v>
      </c>
    </row>
    <row r="272">
      <c r="C272" t="str">
        <f>IFERROR(__xludf.DUMMYFUNCTION("AI(""The city of the university that is in the next row"")"),"I do not have enough information to determine the city because the university name in the next row (row 273) is not visible in the provided spreadsheet context. Please include the university name for row 273.")</f>
        <v>I do not have enough information to determine the city because the university name in the next row (row 273) is not visible in the provided spreadsheet context. Please include the university name for row 273.</v>
      </c>
      <c r="D272" t="b">
        <v>0</v>
      </c>
      <c r="E272" t="b">
        <v>0</v>
      </c>
      <c r="G272" t="b">
        <v>0</v>
      </c>
      <c r="H272" t="b">
        <v>0</v>
      </c>
    </row>
    <row r="273">
      <c r="C273" t="str">
        <f>IFERROR(__xludf.DUMMYFUNCTION("AI(""The city of the university that is in the next row"")"),"I do not have enough information to answer the query. I am missing the university name for this row to determine its city.")</f>
        <v>I do not have enough information to answer the query. I am missing the university name for this row to determine its city.</v>
      </c>
      <c r="D273" t="b">
        <v>0</v>
      </c>
      <c r="E273" t="b">
        <v>0</v>
      </c>
      <c r="G273" t="b">
        <v>0</v>
      </c>
      <c r="H273" t="b">
        <v>0</v>
      </c>
    </row>
    <row r="274">
      <c r="C274" t="str">
        <f>IFERROR(__xludf.DUMMYFUNCTION("AI(""The city of the university that is in the next row"")"),"I do not have enough information to provide the city because the university name for the next row (row 275) is not included in the provided sheet context.")</f>
        <v>I do not have enough information to provide the city because the university name for the next row (row 275) is not included in the provided sheet context.</v>
      </c>
      <c r="D274" t="b">
        <v>0</v>
      </c>
      <c r="E274" t="b">
        <v>0</v>
      </c>
      <c r="G274" t="b">
        <v>0</v>
      </c>
      <c r="H274" t="b">
        <v>0</v>
      </c>
    </row>
    <row r="275">
      <c r="C275" t="str">
        <f>IFERROR(__xludf.DUMMYFUNCTION("AI(""The city of the university that is in the next row"")"),"I do not have enough information to answer this query. The spreadsheet context does not provide the university name for this row or the following rows to determine the city.")</f>
        <v>I do not have enough information to answer this query. The spreadsheet context does not provide the university name for this row or the following rows to determine the city.</v>
      </c>
      <c r="D275" t="b">
        <v>0</v>
      </c>
      <c r="E275" t="b">
        <v>0</v>
      </c>
      <c r="G275" t="b">
        <v>0</v>
      </c>
      <c r="H275" t="b">
        <v>0</v>
      </c>
    </row>
    <row r="276">
      <c r="C276" t="str">
        <f>IFERROR(__xludf.DUMMYFUNCTION("AI(""The city of the university that is in the next row"")"),"I do not have enough information to answer the query. I am missing the university name in the next row (row 277) to determine its city.")</f>
        <v>I do not have enough information to answer the query. I am missing the university name in the next row (row 277) to determine its city.</v>
      </c>
      <c r="D276" t="b">
        <v>0</v>
      </c>
      <c r="E276" t="b">
        <v>0</v>
      </c>
      <c r="G276" t="b">
        <v>0</v>
      </c>
      <c r="H276" t="b">
        <v>0</v>
      </c>
    </row>
    <row r="277">
      <c r="C277" t="str">
        <f>IFERROR(__xludf.DUMMYFUNCTION("AI(""The city of the university that is in the next row"")"),"=AI(""The city of the university that is in the next row"")")</f>
        <v>=AI("The city of the university that is in the next row")</v>
      </c>
      <c r="D277" t="b">
        <v>0</v>
      </c>
      <c r="E277" t="b">
        <v>0</v>
      </c>
      <c r="G277" t="b">
        <v>0</v>
      </c>
      <c r="H277" t="b">
        <v>0</v>
      </c>
    </row>
    <row r="278">
      <c r="C278" t="str">
        <f>IFERROR(__xludf.DUMMYFUNCTION("AI(""The city of the university that is in the next row"")"),"I do not have enough information to answer this query. I am missing the data for the university name in the next row (row 279) to determine its city.")</f>
        <v>I do not have enough information to answer this query. I am missing the data for the university name in the next row (row 279) to determine its city.</v>
      </c>
      <c r="D278" t="b">
        <v>0</v>
      </c>
      <c r="E278" t="b">
        <v>0</v>
      </c>
      <c r="G278" t="b">
        <v>0</v>
      </c>
      <c r="H278" t="b">
        <v>0</v>
      </c>
    </row>
    <row r="279">
      <c r="C279" t="str">
        <f>IFERROR(__xludf.DUMMYFUNCTION("AI(""The city of the university that is in the next row"")"),"=AI(""The city of the university that is in the next row"")")</f>
        <v>=AI("The city of the university that is in the next row")</v>
      </c>
      <c r="D279" t="b">
        <v>0</v>
      </c>
      <c r="E279" t="b">
        <v>0</v>
      </c>
      <c r="G279" t="b">
        <v>0</v>
      </c>
      <c r="H279" t="b">
        <v>0</v>
      </c>
    </row>
    <row r="280">
      <c r="C280" t="str">
        <f>IFERROR(__xludf.DUMMYFUNCTION("AI(""The city of the university that is in the next row"")"),"I do not have enough information to answer this query. I am missing the university name for this row to determine its city.")</f>
        <v>I do not have enough information to answer this query. I am missing the university name for this row to determine its city.</v>
      </c>
      <c r="D280" t="b">
        <v>0</v>
      </c>
      <c r="E280" t="b">
        <v>0</v>
      </c>
      <c r="G280" t="b">
        <v>0</v>
      </c>
      <c r="H280" t="b">
        <v>0</v>
      </c>
    </row>
    <row r="281">
      <c r="C281" t="str">
        <f>IFERROR(__xludf.DUMMYFUNCTION("AI(""The city of the university that is in the next row"")"),"=AI(""The city of the university that is in the next row"")")</f>
        <v>=AI("The city of the university that is in the next row")</v>
      </c>
      <c r="D281" t="b">
        <v>0</v>
      </c>
      <c r="E281" t="b">
        <v>0</v>
      </c>
      <c r="G281" t="b">
        <v>0</v>
      </c>
      <c r="H281" t="b">
        <v>0</v>
      </c>
    </row>
    <row r="282">
      <c r="C282" t="str">
        <f>IFERROR(__xludf.DUMMYFUNCTION("AI(""The city of the university that is in the next row"")"),"=AI(""The city of the university that is in the next row"")")</f>
        <v>=AI("The city of the university that is in the next row")</v>
      </c>
      <c r="D282" t="b">
        <v>0</v>
      </c>
      <c r="E282" t="b">
        <v>0</v>
      </c>
      <c r="G282" t="b">
        <v>0</v>
      </c>
      <c r="H282" t="b">
        <v>0</v>
      </c>
    </row>
    <row r="283">
      <c r="C283" t="str">
        <f>IFERROR(__xludf.DUMMYFUNCTION("AI(""The city of the university that is in the next row"")"),"I do not have enough information to answer the query. I am missing the name of the university in the next row (row 284) to determine its city.")</f>
        <v>I do not have enough information to answer the query. I am missing the name of the university in the next row (row 284) to determine its city.</v>
      </c>
      <c r="D283" t="b">
        <v>0</v>
      </c>
      <c r="E283" t="b">
        <v>0</v>
      </c>
      <c r="G283" t="b">
        <v>0</v>
      </c>
      <c r="H283" t="b">
        <v>0</v>
      </c>
    </row>
    <row r="284">
      <c r="C284" t="str">
        <f>IFERROR(__xludf.DUMMYFUNCTION("AI(""The city of the university that is in the next row"")"),"I do not have enough information to answer this query. The spreadsheet context does not provide the university name for row 284 or the subsequent rows, which is required to identify the corresponding city.")</f>
        <v>I do not have enough information to answer this query. The spreadsheet context does not provide the university name for row 284 or the subsequent rows, which is required to identify the corresponding city.</v>
      </c>
      <c r="D284" t="b">
        <v>0</v>
      </c>
      <c r="E284" t="b">
        <v>0</v>
      </c>
      <c r="G284" t="b">
        <v>0</v>
      </c>
      <c r="H284" t="b">
        <v>0</v>
      </c>
    </row>
    <row r="285">
      <c r="C285" t="str">
        <f>IFERROR(__xludf.DUMMYFUNCTION("AI(""The city of the university that is in the next row"")"),"I do not have enough information to answer the query. I am missing the data for the university name in the next row (row 286) to determine its city.")</f>
        <v>I do not have enough information to answer the query. I am missing the data for the university name in the next row (row 286) to determine its city.</v>
      </c>
      <c r="D285" t="b">
        <v>0</v>
      </c>
      <c r="E285" t="b">
        <v>0</v>
      </c>
      <c r="G285" t="b">
        <v>0</v>
      </c>
      <c r="H285" t="b">
        <v>0</v>
      </c>
    </row>
    <row r="286">
      <c r="C286" t="str">
        <f>IFERROR(__xludf.DUMMYFUNCTION("AI(""The city of the university that is in the next row"")"),"=AI(""The city of the university that is in the next row"")")</f>
        <v>=AI("The city of the university that is in the next row")</v>
      </c>
      <c r="D286" t="b">
        <v>0</v>
      </c>
      <c r="E286" t="b">
        <v>0</v>
      </c>
      <c r="G286" t="b">
        <v>0</v>
      </c>
      <c r="H286" t="b">
        <v>0</v>
      </c>
    </row>
    <row r="287">
      <c r="C287" t="str">
        <f>IFERROR(__xludf.DUMMYFUNCTION("AI(""The city of the university that is in the next row"")"),"I do not have enough information to provide the city. The spreadsheet context does not show the university name for the next row.")</f>
        <v>I do not have enough information to provide the city. The spreadsheet context does not show the university name for the next row.</v>
      </c>
      <c r="D287" t="b">
        <v>0</v>
      </c>
      <c r="E287" t="b">
        <v>0</v>
      </c>
      <c r="G287" t="b">
        <v>0</v>
      </c>
      <c r="H287" t="b">
        <v>0</v>
      </c>
    </row>
    <row r="288">
      <c r="C288" t="str">
        <f>IFERROR(__xludf.DUMMYFUNCTION("AI(""The city of the university that is in the next row"")"),"I do not have enough information to answer the query. I am missing the university name in the next row (row 289) to determine its city.")</f>
        <v>I do not have enough information to answer the query. I am missing the university name in the next row (row 289) to determine its city.</v>
      </c>
      <c r="D288" t="b">
        <v>0</v>
      </c>
      <c r="E288" t="b">
        <v>0</v>
      </c>
      <c r="G288" t="b">
        <v>0</v>
      </c>
      <c r="H288" t="b">
        <v>0</v>
      </c>
    </row>
    <row r="289">
      <c r="C289" t="str">
        <f>IFERROR(__xludf.DUMMYFUNCTION("AI(""The city of the university that is in the next row"")"),"I do not have enough information to answer the query. I am missing the data for the university name in the next row (row 290) to determine its city.")</f>
        <v>I do not have enough information to answer the query. I am missing the data for the university name in the next row (row 290) to determine its city.</v>
      </c>
      <c r="D289" t="b">
        <v>0</v>
      </c>
      <c r="E289" t="b">
        <v>0</v>
      </c>
      <c r="G289" t="b">
        <v>0</v>
      </c>
      <c r="H289" t="b">
        <v>0</v>
      </c>
    </row>
    <row r="290">
      <c r="C290" t="str">
        <f>IFERROR(__xludf.DUMMYFUNCTION("AI(""The city of the university that is in the next row"")"),"I do not have enough information to answer the query because the university name in the next row is missing from the provided context.")</f>
        <v>I do not have enough information to answer the query because the university name in the next row is missing from the provided context.</v>
      </c>
      <c r="D290" t="b">
        <v>0</v>
      </c>
      <c r="E290" t="b">
        <v>0</v>
      </c>
      <c r="G290" t="b">
        <v>0</v>
      </c>
      <c r="H290" t="b">
        <v>0</v>
      </c>
    </row>
    <row r="291">
      <c r="C291" t="str">
        <f>IFERROR(__xludf.DUMMYFUNCTION("AI(""The city of the university that is in the next row"")"),"I do not have enough information to answer the query. I am missing the data for the next row (row 292) to identify the university name and determine its city.")</f>
        <v>I do not have enough information to answer the query. I am missing the data for the next row (row 292) to identify the university name and determine its city.</v>
      </c>
      <c r="D291" t="b">
        <v>0</v>
      </c>
      <c r="E291" t="b">
        <v>0</v>
      </c>
      <c r="G291" t="b">
        <v>0</v>
      </c>
      <c r="H291" t="b">
        <v>0</v>
      </c>
    </row>
    <row r="292">
      <c r="C292" t="str">
        <f>IFERROR(__xludf.DUMMYFUNCTION("AI(""The city of the university that is in the next row"")"),"I do not have enough information to answer the query. I am missing the university name for this row to determine its city.")</f>
        <v>I do not have enough information to answer the query. I am missing the university name for this row to determine its city.</v>
      </c>
      <c r="D292" t="b">
        <v>0</v>
      </c>
      <c r="E292" t="b">
        <v>0</v>
      </c>
      <c r="G292" t="b">
        <v>0</v>
      </c>
      <c r="H292" t="b">
        <v>0</v>
      </c>
    </row>
    <row r="293">
      <c r="C293" t="str">
        <f>IFERROR(__xludf.DUMMYFUNCTION("AI(""The city of the university that is in the next row"")"),"I do not have enough information to answer the query. I am missing the name of the university in the next row (row 294) to determine its city.")</f>
        <v>I do not have enough information to answer the query. I am missing the name of the university in the next row (row 294) to determine its city.</v>
      </c>
      <c r="D293" t="b">
        <v>0</v>
      </c>
      <c r="E293" t="b">
        <v>0</v>
      </c>
      <c r="G293" t="b">
        <v>0</v>
      </c>
      <c r="H293" t="b">
        <v>0</v>
      </c>
    </row>
    <row r="294">
      <c r="C294" t="str">
        <f>IFERROR(__xludf.DUMMYFUNCTION("AI(""The city of the university that is in the next row"")"),"=AI(""The city of the university that is in the next row"")")</f>
        <v>=AI("The city of the university that is in the next row")</v>
      </c>
      <c r="D294" t="b">
        <v>0</v>
      </c>
      <c r="E294" t="b">
        <v>0</v>
      </c>
      <c r="G294" t="b">
        <v>0</v>
      </c>
      <c r="H294" t="b">
        <v>0</v>
      </c>
    </row>
    <row r="295">
      <c r="C295" t="str">
        <f>IFERROR(__xludf.DUMMYFUNCTION("AI(""The city of the university that is in the next row"")"),"=AI(""The city of the university that is in the next row"")")</f>
        <v>=AI("The city of the university that is in the next row")</v>
      </c>
      <c r="D295" t="b">
        <v>0</v>
      </c>
      <c r="E295" t="b">
        <v>0</v>
      </c>
      <c r="G295" t="b">
        <v>0</v>
      </c>
      <c r="H295" t="b">
        <v>0</v>
      </c>
    </row>
    <row r="296">
      <c r="C296" t="str">
        <f>IFERROR(__xludf.DUMMYFUNCTION("AI(""The city of the university that is in the next row"")"),"I do not have enough information to answer the query. I am missing the university name for the row to determine its city.")</f>
        <v>I do not have enough information to answer the query. I am missing the university name for the row to determine its city.</v>
      </c>
      <c r="D296" t="b">
        <v>0</v>
      </c>
      <c r="E296" t="b">
        <v>0</v>
      </c>
      <c r="G296" t="b">
        <v>0</v>
      </c>
      <c r="H296" t="b">
        <v>0</v>
      </c>
    </row>
    <row r="297">
      <c r="C297" t="str">
        <f>IFERROR(__xludf.DUMMYFUNCTION("AI(""The city of the university that is in the next row"")"),"I do not have enough information to answer the query. I am missing the name of the university for this row or the next row to determine its city.")</f>
        <v>I do not have enough information to answer the query. I am missing the name of the university for this row or the next row to determine its city.</v>
      </c>
      <c r="D297" t="b">
        <v>0</v>
      </c>
      <c r="E297" t="b">
        <v>0</v>
      </c>
      <c r="G297" t="b">
        <v>0</v>
      </c>
      <c r="H297" t="b">
        <v>0</v>
      </c>
    </row>
    <row r="298">
      <c r="C298" t="str">
        <f>IFERROR(__xludf.DUMMYFUNCTION("AI(""The city of the university that is in the next row"")"),"I do not have enough information to answer the query. I am missing the university name for the row to determine its city.")</f>
        <v>I do not have enough information to answer the query. I am missing the university name for the row to determine its city.</v>
      </c>
      <c r="D298" t="b">
        <v>0</v>
      </c>
      <c r="E298" t="b">
        <v>0</v>
      </c>
      <c r="G298" t="b">
        <v>0</v>
      </c>
      <c r="H298" t="b">
        <v>0</v>
      </c>
    </row>
    <row r="299">
      <c r="C299" t="str">
        <f>IFERROR(__xludf.DUMMYFUNCTION("AI(""The city of the university that is in the next row"")"),"=AI(""The city of the university that is in the next row"")")</f>
        <v>=AI("The city of the university that is in the next row")</v>
      </c>
      <c r="D299" t="b">
        <v>0</v>
      </c>
      <c r="E299" t="b">
        <v>0</v>
      </c>
      <c r="G299" t="b">
        <v>0</v>
      </c>
      <c r="H299" t="b">
        <v>0</v>
      </c>
    </row>
    <row r="300">
      <c r="C300" t="str">
        <f>IFERROR(__xludf.DUMMYFUNCTION("AI(""The city of the university that is in the next row"")"),"I do not have enough information to answer the query. I am missing the data for the university name in the next row (row 301) to determine its city.")</f>
        <v>I do not have enough information to answer the query. I am missing the data for the university name in the next row (row 301) to determine its city.</v>
      </c>
      <c r="D300" t="b">
        <v>0</v>
      </c>
      <c r="E300" t="b">
        <v>0</v>
      </c>
      <c r="G300" t="b">
        <v>0</v>
      </c>
      <c r="H300" t="b">
        <v>0</v>
      </c>
    </row>
    <row r="301">
      <c r="C301" t="str">
        <f>IFERROR(__xludf.DUMMYFUNCTION("AI(""The city of the university that is in the next row"")"),"=AI(""The city of the university that is in the next row"")")</f>
        <v>=AI("The city of the university that is in the next row")</v>
      </c>
      <c r="D301" t="b">
        <v>0</v>
      </c>
      <c r="E301" t="b">
        <v>0</v>
      </c>
      <c r="G301" t="b">
        <v>0</v>
      </c>
      <c r="H301" t="b">
        <v>0</v>
      </c>
    </row>
    <row r="302">
      <c r="C302" t="str">
        <f>IFERROR(__xludf.DUMMYFUNCTION("AI(""The city of the university that is in the next row"")"),"I do not have enough information about the university in the next row to determine its city.")</f>
        <v>I do not have enough information about the university in the next row to determine its city.</v>
      </c>
      <c r="D302" t="b">
        <v>0</v>
      </c>
      <c r="E302" t="b">
        <v>0</v>
      </c>
      <c r="G302" t="b">
        <v>0</v>
      </c>
      <c r="H302" t="b">
        <v>0</v>
      </c>
    </row>
    <row r="303">
      <c r="C303" t="str">
        <f>IFERROR(__xludf.DUMMYFUNCTION("AI(""The city of the university that is in the next row"")"),"I do not have enough information to answer the query. I am missing the university name for this row to determine its city.")</f>
        <v>I do not have enough information to answer the query. I am missing the university name for this row to determine its city.</v>
      </c>
      <c r="D303" t="b">
        <v>0</v>
      </c>
      <c r="E303" t="b">
        <v>0</v>
      </c>
      <c r="G303" t="b">
        <v>0</v>
      </c>
      <c r="H303" t="b">
        <v>0</v>
      </c>
    </row>
    <row r="304">
      <c r="C304" t="str">
        <f>IFERROR(__xludf.DUMMYFUNCTION("AI(""The city of the university that is in the next row"")"),"I do not have enough information to answer the query. The university name for the specified row is missing from the provided spreadsheet context.")</f>
        <v>I do not have enough information to answer the query. The university name for the specified row is missing from the provided spreadsheet context.</v>
      </c>
      <c r="D304" t="b">
        <v>0</v>
      </c>
      <c r="E304" t="b">
        <v>0</v>
      </c>
      <c r="G304" t="b">
        <v>0</v>
      </c>
      <c r="H304" t="b">
        <v>0</v>
      </c>
    </row>
    <row r="305">
      <c r="C305" t="str">
        <f>IFERROR(__xludf.DUMMYFUNCTION("AI(""The city of the university that is in the next row"")"),"=AI(""The city of the university that is in the next row"")")</f>
        <v>=AI("The city of the university that is in the next row")</v>
      </c>
      <c r="D305" t="b">
        <v>0</v>
      </c>
      <c r="E305" t="b">
        <v>0</v>
      </c>
      <c r="G305" t="b">
        <v>0</v>
      </c>
      <c r="H305" t="b">
        <v>0</v>
      </c>
    </row>
    <row r="306">
      <c r="C306" t="str">
        <f>IFERROR(__xludf.DUMMYFUNCTION("AI(""The city of the university that is in the next row"")"),"I do not have enough information to answer the query. I am missing the university name in the next row (row 307) to determine its city.")</f>
        <v>I do not have enough information to answer the query. I am missing the university name in the next row (row 307) to determine its city.</v>
      </c>
      <c r="D306" t="b">
        <v>0</v>
      </c>
      <c r="E306" t="b">
        <v>0</v>
      </c>
      <c r="G306" t="b">
        <v>0</v>
      </c>
      <c r="H306" t="b">
        <v>0</v>
      </c>
    </row>
    <row r="307">
      <c r="C307" t="str">
        <f>IFERROR(__xludf.DUMMYFUNCTION("AI(""The city of the university that is in the next row"")"),"I do not have enough information to answer the query. I am missing the university name in the next row to determine its city.")</f>
        <v>I do not have enough information to answer the query. I am missing the university name in the next row to determine its city.</v>
      </c>
      <c r="D307" t="b">
        <v>0</v>
      </c>
      <c r="E307" t="b">
        <v>0</v>
      </c>
      <c r="G307" t="b">
        <v>0</v>
      </c>
      <c r="H307" t="b">
        <v>0</v>
      </c>
    </row>
    <row r="308">
      <c r="C308" t="str">
        <f>IFERROR(__xludf.DUMMYFUNCTION("AI(""The city of the university that is in the next row"")"),"I do not have enough information to answer the query because the university name for the row is missing from the provided context. Please include the university name to get the correct city.")</f>
        <v>I do not have enough information to answer the query because the university name for the row is missing from the provided context. Please include the university name to get the correct city.</v>
      </c>
      <c r="D308" t="b">
        <v>0</v>
      </c>
      <c r="E308" t="b">
        <v>0</v>
      </c>
      <c r="G308" t="b">
        <v>0</v>
      </c>
      <c r="H308" t="b">
        <v>0</v>
      </c>
    </row>
    <row r="309">
      <c r="C309" t="str">
        <f>IFERROR(__xludf.DUMMYFUNCTION("AI(""The city of the university that is in the next row"")"),"I do not have enough information to answer the query. I am missing the university name for the next row (row 310) to determine its city.")</f>
        <v>I do not have enough information to answer the query. I am missing the university name for the next row (row 310) to determine its city.</v>
      </c>
      <c r="D309" t="b">
        <v>0</v>
      </c>
      <c r="E309" t="b">
        <v>0</v>
      </c>
      <c r="G309" t="b">
        <v>0</v>
      </c>
      <c r="H309" t="b">
        <v>0</v>
      </c>
    </row>
    <row r="310">
      <c r="C310" t="str">
        <f>IFERROR(__xludf.DUMMYFUNCTION("AI(""The city of the university that is in the next row"")"),"I do not have enough information to answer the query. I am missing the data for the university name in row 311 to determine its city.")</f>
        <v>I do not have enough information to answer the query. I am missing the data for the university name in row 311 to determine its city.</v>
      </c>
      <c r="D310" t="b">
        <v>0</v>
      </c>
      <c r="E310" t="b">
        <v>0</v>
      </c>
      <c r="G310" t="b">
        <v>0</v>
      </c>
      <c r="H310" t="b">
        <v>0</v>
      </c>
    </row>
    <row r="311">
      <c r="C311" t="str">
        <f>IFERROR(__xludf.DUMMYFUNCTION("AI(""The city of the university that is in the next row"")"),"I do not have enough information to answer the query. I am missing the university name in the next row to determine its city.")</f>
        <v>I do not have enough information to answer the query. I am missing the university name in the next row to determine its city.</v>
      </c>
      <c r="D311" t="b">
        <v>0</v>
      </c>
      <c r="E311" t="b">
        <v>0</v>
      </c>
      <c r="G311" t="b">
        <v>0</v>
      </c>
      <c r="H311" t="b">
        <v>0</v>
      </c>
    </row>
    <row r="312">
      <c r="C312" t="str">
        <f>IFERROR(__xludf.DUMMYFUNCTION("AI(""The city of the university that is in the next row"")"),"I do not have enough information to answer the query. I am missing the name of the university in the next row (row 313) to determine its city.")</f>
        <v>I do not have enough information to answer the query. I am missing the name of the university in the next row (row 313) to determine its city.</v>
      </c>
      <c r="D312" t="b">
        <v>0</v>
      </c>
      <c r="E312" t="b">
        <v>0</v>
      </c>
      <c r="G312" t="b">
        <v>0</v>
      </c>
      <c r="H312" t="b">
        <v>0</v>
      </c>
    </row>
    <row r="313">
      <c r="C313" t="str">
        <f>IFERROR(__xludf.DUMMYFUNCTION("AI(""The city of the university that is in the next row"")"),"=AI(""The city of the university that is in the next row"")")</f>
        <v>=AI("The city of the university that is in the next row")</v>
      </c>
      <c r="D313" t="b">
        <v>0</v>
      </c>
      <c r="E313" t="b">
        <v>0</v>
      </c>
      <c r="G313" t="b">
        <v>0</v>
      </c>
      <c r="H313" t="b">
        <v>0</v>
      </c>
    </row>
    <row r="314">
      <c r="C314" t="str">
        <f>IFERROR(__xludf.DUMMYFUNCTION("AI(""The city of the university that is in the next row"")"),"I do not have enough information to answer the query. I am missing the university name for this row to determine its city.")</f>
        <v>I do not have enough information to answer the query. I am missing the university name for this row to determine its city.</v>
      </c>
      <c r="D314" t="b">
        <v>0</v>
      </c>
      <c r="E314" t="b">
        <v>0</v>
      </c>
      <c r="G314" t="b">
        <v>0</v>
      </c>
      <c r="H314" t="b">
        <v>0</v>
      </c>
    </row>
    <row r="315">
      <c r="C315" t="str">
        <f>IFERROR(__xludf.DUMMYFUNCTION("AI(""The city of the university that is in the next row"")"),"The table sample data provided does not show the row following row 315, so I do not have enough information to determine the university name or city for that row.")</f>
        <v>The table sample data provided does not show the row following row 315, so I do not have enough information to determine the university name or city for that row.</v>
      </c>
      <c r="D315" t="b">
        <v>0</v>
      </c>
      <c r="E315" t="b">
        <v>0</v>
      </c>
      <c r="G315" t="b">
        <v>0</v>
      </c>
      <c r="H315" t="b">
        <v>0</v>
      </c>
    </row>
    <row r="316">
      <c r="C316" t="str">
        <f>IFERROR(__xludf.DUMMYFUNCTION("AI(""The city of the university that is in the next row"")"),"I do not have enough information to answer the query. I am missing the university name in the next row (row 317) to determine its city.")</f>
        <v>I do not have enough information to answer the query. I am missing the university name in the next row (row 317) to determine its city.</v>
      </c>
      <c r="D316" t="b">
        <v>0</v>
      </c>
      <c r="E316" t="b">
        <v>0</v>
      </c>
      <c r="G316" t="b">
        <v>0</v>
      </c>
      <c r="H316" t="b">
        <v>0</v>
      </c>
    </row>
    <row r="317">
      <c r="C317" t="str">
        <f>IFERROR(__xludf.DUMMYFUNCTION("AI(""The city of the university that is in the next row"")"),"I do not have enough information to answer the query. I am missing the university name for this row or the next row to determine the correct city.")</f>
        <v>I do not have enough information to answer the query. I am missing the university name for this row or the next row to determine the correct city.</v>
      </c>
      <c r="D317" t="b">
        <v>0</v>
      </c>
      <c r="E317" t="b">
        <v>0</v>
      </c>
      <c r="G317" t="b">
        <v>0</v>
      </c>
      <c r="H317" t="b">
        <v>0</v>
      </c>
    </row>
    <row r="318">
      <c r="C318" t="str">
        <f>IFERROR(__xludf.DUMMYFUNCTION("AI(""The city of the university that is in the next row"")"),"I do not have enough information to answer the query. I am missing the university name in the next row (row 319) to determine its city.")</f>
        <v>I do not have enough information to answer the query. I am missing the university name in the next row (row 319) to determine its city.</v>
      </c>
      <c r="D318" t="b">
        <v>0</v>
      </c>
      <c r="E318" t="b">
        <v>0</v>
      </c>
      <c r="G318" t="b">
        <v>0</v>
      </c>
      <c r="H318" t="b">
        <v>0</v>
      </c>
    </row>
    <row r="319">
      <c r="C319" t="str">
        <f>IFERROR(__xludf.DUMMYFUNCTION("AI(""The city of the university that is in the next row"")"),"Birmingham")</f>
        <v>Birmingham</v>
      </c>
      <c r="D319" t="b">
        <v>0</v>
      </c>
      <c r="E319" t="b">
        <v>0</v>
      </c>
      <c r="G319" t="b">
        <v>0</v>
      </c>
      <c r="H319" t="b">
        <v>0</v>
      </c>
    </row>
    <row r="320">
      <c r="C320" t="str">
        <f>IFERROR(__xludf.DUMMYFUNCTION("AI(""The city of the university that is in the next row"")"),"Cardiff")</f>
        <v>Cardiff</v>
      </c>
      <c r="D320" t="b">
        <v>0</v>
      </c>
      <c r="E320" t="b">
        <v>0</v>
      </c>
      <c r="G320" t="b">
        <v>0</v>
      </c>
      <c r="H320" t="b">
        <v>0</v>
      </c>
    </row>
    <row r="321">
      <c r="C321" t="str">
        <f>IFERROR(__xludf.DUMMYFUNCTION("AI(""The city of the university that is in the next row"")"),"I do not have enough information to provide the city because the university name in row 322 is missing from the provided data.")</f>
        <v>I do not have enough information to provide the city because the university name in row 322 is missing from the provided data.</v>
      </c>
      <c r="D321" t="b">
        <v>0</v>
      </c>
      <c r="E321" t="b">
        <v>0</v>
      </c>
      <c r="G321" t="b">
        <v>0</v>
      </c>
      <c r="H321" t="b">
        <v>0</v>
      </c>
    </row>
    <row r="322">
      <c r="C322" t="str">
        <f>IFERROR(__xludf.DUMMYFUNCTION("AI(""The city of the university that is in the next row"")"),"I do not have enough information to answer the query because the university name for the relevant row is missing from the provided data.")</f>
        <v>I do not have enough information to answer the query because the university name for the relevant row is missing from the provided data.</v>
      </c>
      <c r="D322" t="b">
        <v>0</v>
      </c>
      <c r="E322" t="b">
        <v>0</v>
      </c>
      <c r="G322" t="b">
        <v>0</v>
      </c>
      <c r="H322" t="b">
        <v>0</v>
      </c>
    </row>
    <row r="323">
      <c r="C323" t="str">
        <f>IFERROR(__xludf.DUMMYFUNCTION("AI(""The city of the university that is in the next row"")"),"I do not have enough information to answer the query. The spreadsheet context does not provide the university name for the next row (row 324), which is required to determine its city.")</f>
        <v>I do not have enough information to answer the query. The spreadsheet context does not provide the university name for the next row (row 324), which is required to determine its city.</v>
      </c>
      <c r="D323" t="b">
        <v>0</v>
      </c>
      <c r="E323" t="b">
        <v>0</v>
      </c>
      <c r="G323" t="b">
        <v>0</v>
      </c>
      <c r="H323" t="b">
        <v>0</v>
      </c>
    </row>
    <row r="324">
      <c r="C324" t="str">
        <f>IFERROR(__xludf.DUMMYFUNCTION("AI(""The city of the university that is in the next row"")"),"=AI(""The city of the university that is in the next row"")")</f>
        <v>=AI("The city of the university that is in the next row")</v>
      </c>
      <c r="D324" t="b">
        <v>0</v>
      </c>
      <c r="E324" t="b">
        <v>0</v>
      </c>
      <c r="G324" t="b">
        <v>0</v>
      </c>
      <c r="H324" t="b">
        <v>0</v>
      </c>
    </row>
    <row r="325">
      <c r="C325" t="str">
        <f>IFERROR(__xludf.DUMMYFUNCTION("AI(""The city of the university that is in the next row"")"),"I do not have enough information to answer the query. I am missing the data for the university name in the next row (row 326) to determine its city.")</f>
        <v>I do not have enough information to answer the query. I am missing the data for the university name in the next row (row 326) to determine its city.</v>
      </c>
      <c r="D325" t="b">
        <v>0</v>
      </c>
      <c r="E325" t="b">
        <v>0</v>
      </c>
      <c r="G325" t="b">
        <v>0</v>
      </c>
      <c r="H325" t="b">
        <v>0</v>
      </c>
    </row>
    <row r="326">
      <c r="C326" t="str">
        <f>IFERROR(__xludf.DUMMYFUNCTION("AI(""The city of the university that is in the next row"")"),"Cardiff")</f>
        <v>Cardiff</v>
      </c>
      <c r="D326" t="b">
        <v>0</v>
      </c>
      <c r="E326" t="b">
        <v>0</v>
      </c>
      <c r="G326" t="b">
        <v>0</v>
      </c>
      <c r="H326" t="b">
        <v>0</v>
      </c>
    </row>
    <row r="327">
      <c r="C327" t="str">
        <f>IFERROR(__xludf.DUMMYFUNCTION("AI(""The city of the university that is in the next row"")"),"I do not have enough information to determine the city because the university name for the next row (row 328) is not visible in the provided spreadsheet context. Please ensure the university name column is populated for that row.")</f>
        <v>I do not have enough information to determine the city because the university name for the next row (row 328) is not visible in the provided spreadsheet context. Please ensure the university name column is populated for that row.</v>
      </c>
      <c r="D327" t="b">
        <v>0</v>
      </c>
      <c r="E327" t="b">
        <v>0</v>
      </c>
      <c r="G327" t="b">
        <v>0</v>
      </c>
      <c r="H327" t="b">
        <v>0</v>
      </c>
    </row>
    <row r="328">
      <c r="C328" t="str">
        <f>IFERROR(__xludf.DUMMYFUNCTION("AI(""The city of the university that is in the next row"")"),"Exeter")</f>
        <v>Exeter</v>
      </c>
      <c r="D328" t="b">
        <v>0</v>
      </c>
      <c r="E328" t="b">
        <v>0</v>
      </c>
      <c r="G328" t="b">
        <v>0</v>
      </c>
      <c r="H328" t="b">
        <v>0</v>
      </c>
    </row>
    <row r="329">
      <c r="C329" t="str">
        <f>IFERROR(__xludf.DUMMYFUNCTION("AI(""The city of the university that is in the next row"")"),"I do not have enough information to answer the query because the university name for the next row (row 330) is missing from the provided context. Please provide the university name in row 330 to get its city.")</f>
        <v>I do not have enough information to answer the query because the university name for the next row (row 330) is missing from the provided context. Please provide the university name in row 330 to get its city.</v>
      </c>
      <c r="D329" t="b">
        <v>0</v>
      </c>
      <c r="E329" t="b">
        <v>0</v>
      </c>
      <c r="G329" t="b">
        <v>0</v>
      </c>
      <c r="H329" t="b">
        <v>0</v>
      </c>
    </row>
    <row r="330">
      <c r="C330" t="str">
        <f>IFERROR(__xludf.DUMMYFUNCTION("AI(""The city of the university that is in the next row"")"),"I do not have enough information to determine the city because the university name for the next row (row 331) is not provided in the spreadsheet context. Please include the university name for row 331.")</f>
        <v>I do not have enough information to determine the city because the university name for the next row (row 331) is not provided in the spreadsheet context. Please include the university name for row 331.</v>
      </c>
      <c r="D330" t="b">
        <v>0</v>
      </c>
      <c r="E330" t="b">
        <v>0</v>
      </c>
      <c r="G330" t="b">
        <v>0</v>
      </c>
      <c r="H330" t="b">
        <v>0</v>
      </c>
    </row>
    <row r="331">
      <c r="C331" t="str">
        <f>IFERROR(__xludf.DUMMYFUNCTION("AI(""The city of the university that is in the next row"")"),"Cambridge")</f>
        <v>Cambridge</v>
      </c>
      <c r="D331" t="b">
        <v>0</v>
      </c>
      <c r="E331" t="b">
        <v>0</v>
      </c>
      <c r="G331" t="b">
        <v>0</v>
      </c>
      <c r="H331" t="b">
        <v>0</v>
      </c>
    </row>
    <row r="332">
      <c r="C332" t="str">
        <f>IFERROR(__xludf.DUMMYFUNCTION("AI(""The city of the university that is in the next row"")"),"=AI(""The city of the university that is in the next row"")")</f>
        <v>=AI("The city of the university that is in the next row")</v>
      </c>
      <c r="D332" t="b">
        <v>0</v>
      </c>
      <c r="E332" t="b">
        <v>0</v>
      </c>
      <c r="G332" t="b">
        <v>0</v>
      </c>
      <c r="H332" t="b">
        <v>0</v>
      </c>
    </row>
    <row r="333">
      <c r="C333" t="str">
        <f>IFERROR(__xludf.DUMMYFUNCTION("AI(""The city of the university that is in the next row"")"),"I do not have enough information to answer the query. I am missing the university name in row 334 to determine its city.")</f>
        <v>I do not have enough information to answer the query. I am missing the university name in row 334 to determine its city.</v>
      </c>
      <c r="D333" t="b">
        <v>0</v>
      </c>
      <c r="E333" t="b">
        <v>0</v>
      </c>
      <c r="G333" t="b">
        <v>0</v>
      </c>
      <c r="H333" t="b">
        <v>0</v>
      </c>
    </row>
    <row r="334">
      <c r="C334" t="str">
        <f>IFERROR(__xludf.DUMMYFUNCTION("AI(""The city of the university that is in the next row"")"),"I do not have enough information to answer the query. I am missing the name of the university in the next row (row 335) to determine its city.")</f>
        <v>I do not have enough information to answer the query. I am missing the name of the university in the next row (row 335) to determine its city.</v>
      </c>
      <c r="D334" t="b">
        <v>0</v>
      </c>
      <c r="E334" t="b">
        <v>0</v>
      </c>
      <c r="G334" t="b">
        <v>0</v>
      </c>
      <c r="H334" t="b">
        <v>0</v>
      </c>
    </row>
    <row r="335">
      <c r="C335" t="str">
        <f>IFERROR(__xludf.DUMMYFUNCTION("AI(""The city of the university that is in the next row"")"),"I do not have enough information to provide the city because the university name for the corresponding row is missing from the provided data. Please include the university name to get the correct city.")</f>
        <v>I do not have enough information to provide the city because the university name for the corresponding row is missing from the provided data. Please include the university name to get the correct city.</v>
      </c>
      <c r="D335" t="b">
        <v>0</v>
      </c>
      <c r="E335" t="b">
        <v>0</v>
      </c>
      <c r="G335" t="b">
        <v>0</v>
      </c>
      <c r="H335" t="b">
        <v>0</v>
      </c>
    </row>
    <row r="336">
      <c r="C336" t="str">
        <f>IFERROR(__xludf.DUMMYFUNCTION("AI(""The city of the university that is in the next row"")"),"I do not have enough information to answer the query. I am missing the university name in row 337 to determine its city.")</f>
        <v>I do not have enough information to answer the query. I am missing the university name in row 337 to determine its city.</v>
      </c>
      <c r="D336" t="b">
        <v>0</v>
      </c>
      <c r="E336" t="b">
        <v>0</v>
      </c>
      <c r="G336" t="b">
        <v>0</v>
      </c>
      <c r="H336" t="b">
        <v>0</v>
      </c>
    </row>
    <row r="337">
      <c r="C337" t="str">
        <f>IFERROR(__xludf.DUMMYFUNCTION("AI(""The city of the university that is in the next row"")"),"I do not have enough information to answer this query because the university name in the next row (row 338) is missing from the provided spreadsheet context.")</f>
        <v>I do not have enough information to answer this query because the university name in the next row (row 338) is missing from the provided spreadsheet context.</v>
      </c>
      <c r="D337" t="b">
        <v>0</v>
      </c>
      <c r="E337" t="b">
        <v>0</v>
      </c>
      <c r="G337" t="b">
        <v>0</v>
      </c>
      <c r="H337" t="b">
        <v>0</v>
      </c>
    </row>
    <row r="338">
      <c r="C338" t="str">
        <f>IFERROR(__xludf.DUMMYFUNCTION("AI(""The city of the university that is in the next row"")"),"I do not have enough information to answer the query. I am missing the university name in row 338 or 339 to determine its city.")</f>
        <v>I do not have enough information to answer the query. I am missing the university name in row 338 or 339 to determine its city.</v>
      </c>
      <c r="D338" t="b">
        <v>0</v>
      </c>
      <c r="E338" t="b">
        <v>0</v>
      </c>
      <c r="G338" t="b">
        <v>0</v>
      </c>
      <c r="H338" t="b">
        <v>0</v>
      </c>
    </row>
    <row r="339">
      <c r="C339" t="str">
        <f>IFERROR(__xludf.DUMMYFUNCTION("AI(""The city of the university that is in the next row"")"),"=AI(""The city of the university that is in the next row"")")</f>
        <v>=AI("The city of the university that is in the next row")</v>
      </c>
      <c r="D339" t="b">
        <v>0</v>
      </c>
      <c r="E339" t="b">
        <v>0</v>
      </c>
      <c r="G339" t="b">
        <v>0</v>
      </c>
      <c r="H339" t="b">
        <v>0</v>
      </c>
    </row>
    <row r="340">
      <c r="C340" t="str">
        <f>IFERROR(__xludf.DUMMYFUNCTION("AI(""The city of the university that is in the next row"")"),"I do not have enough information to answer the query. I am missing the name of the university in the next row (row 341) to determine its city.")</f>
        <v>I do not have enough information to answer the query. I am missing the name of the university in the next row (row 341) to determine its city.</v>
      </c>
      <c r="D340" t="b">
        <v>0</v>
      </c>
      <c r="E340" t="b">
        <v>0</v>
      </c>
      <c r="G340" t="b">
        <v>0</v>
      </c>
      <c r="H340" t="b">
        <v>0</v>
      </c>
    </row>
    <row r="341">
      <c r="C341" t="str">
        <f>IFERROR(__xludf.DUMMYFUNCTION("AI(""The city of the university that is in the next row"")"),"=AI(""The city of the university that is in the next row"")")</f>
        <v>=AI("The city of the university that is in the next row")</v>
      </c>
      <c r="D341" t="b">
        <v>0</v>
      </c>
      <c r="E341" t="b">
        <v>0</v>
      </c>
      <c r="G341" t="b">
        <v>0</v>
      </c>
      <c r="H341" t="b">
        <v>0</v>
      </c>
    </row>
    <row r="342">
      <c r="C342" t="str">
        <f>IFERROR(__xludf.DUMMYFUNCTION("AI(""The city of the university that is in the next row"")"),"I do not have enough information to determine the city because the university name for this row is missing from the provided context.")</f>
        <v>I do not have enough information to determine the city because the university name for this row is missing from the provided context.</v>
      </c>
      <c r="D342" t="b">
        <v>0</v>
      </c>
      <c r="E342" t="b">
        <v>0</v>
      </c>
      <c r="G342" t="b">
        <v>0</v>
      </c>
      <c r="H342" t="b">
        <v>0</v>
      </c>
    </row>
    <row r="343">
      <c r="C343" t="str">
        <f>IFERROR(__xludf.DUMMYFUNCTION("AI(""The city of the university that is in the next row"")"),"I do not have enough information to answer the query. The university name for the next row (row 344) is missing from the provided spreadsheet context.")</f>
        <v>I do not have enough information to answer the query. The university name for the next row (row 344) is missing from the provided spreadsheet context.</v>
      </c>
      <c r="D343" t="b">
        <v>0</v>
      </c>
      <c r="E343" t="b">
        <v>0</v>
      </c>
      <c r="G343" t="b">
        <v>0</v>
      </c>
      <c r="H343" t="b">
        <v>0</v>
      </c>
    </row>
    <row r="344">
      <c r="C344" t="str">
        <f>IFERROR(__xludf.DUMMYFUNCTION("AI(""The city of the university that is in the next row"")"),"I do not have enough information to determine the city because the university name in the next row (row 345) is not provided in the spreadsheet context. Please ensure the university name is filled in to get the correct city.")</f>
        <v>I do not have enough information to determine the city because the university name in the next row (row 345) is not provided in the spreadsheet context. Please ensure the university name is filled in to get the correct city.</v>
      </c>
      <c r="D344" t="b">
        <v>0</v>
      </c>
      <c r="E344" t="b">
        <v>0</v>
      </c>
      <c r="G344" t="b">
        <v>0</v>
      </c>
      <c r="H344" t="b">
        <v>0</v>
      </c>
    </row>
    <row r="345">
      <c r="C345" t="str">
        <f>IFERROR(__xludf.DUMMYFUNCTION("AI(""The city of the university that is in the next row"")"),"I do not have enough information to answer the query. I am missing the name of the university in the next row (row 346) to determine its city.")</f>
        <v>I do not have enough information to answer the query. I am missing the name of the university in the next row (row 346) to determine its city.</v>
      </c>
      <c r="D345" t="b">
        <v>0</v>
      </c>
      <c r="E345" t="b">
        <v>0</v>
      </c>
      <c r="G345" t="b">
        <v>0</v>
      </c>
      <c r="H345" t="b">
        <v>0</v>
      </c>
    </row>
    <row r="346">
      <c r="C346" t="str">
        <f>IFERROR(__xludf.DUMMYFUNCTION("AI(""The city of the university that is in the next row"")"),"I do not have enough information to answer the query. I am missing the university name in the next row (row 347) to determine its city.")</f>
        <v>I do not have enough information to answer the query. I am missing the university name in the next row (row 347) to determine its city.</v>
      </c>
      <c r="D346" t="b">
        <v>0</v>
      </c>
      <c r="E346" t="b">
        <v>0</v>
      </c>
      <c r="G346" t="b">
        <v>0</v>
      </c>
      <c r="H346" t="b">
        <v>0</v>
      </c>
    </row>
    <row r="347">
      <c r="C347" t="str">
        <f>IFERROR(__xludf.DUMMYFUNCTION("AI(""The city of the university that is in the next row"")"),"I do not have enough information to answer the query. I am missing the data for the university name in the next row (row 348) to determine its city.")</f>
        <v>I do not have enough information to answer the query. I am missing the data for the university name in the next row (row 348) to determine its city.</v>
      </c>
      <c r="D347" t="b">
        <v>0</v>
      </c>
      <c r="E347" t="b">
        <v>0</v>
      </c>
      <c r="G347" t="b">
        <v>0</v>
      </c>
      <c r="H347" t="b">
        <v>0</v>
      </c>
    </row>
    <row r="348">
      <c r="C348" t="str">
        <f>IFERROR(__xludf.DUMMYFUNCTION("AI(""The city of the university that is in the next row"")"),"Cardiff")</f>
        <v>Cardiff</v>
      </c>
      <c r="D348" t="b">
        <v>0</v>
      </c>
      <c r="E348" t="b">
        <v>0</v>
      </c>
      <c r="G348" t="b">
        <v>0</v>
      </c>
      <c r="H348" t="b">
        <v>0</v>
      </c>
    </row>
    <row r="349">
      <c r="C349" t="str">
        <f>IFERROR(__xludf.DUMMYFUNCTION("AI(""The city of the university that is in the next row"")"),"I do not have enough information to answer the query. I am missing the data for the next row (row 350) to determine which university is listed there.")</f>
        <v>I do not have enough information to answer the query. I am missing the data for the next row (row 350) to determine which university is listed there.</v>
      </c>
      <c r="D349" t="b">
        <v>0</v>
      </c>
      <c r="E349" t="b">
        <v>0</v>
      </c>
      <c r="G349" t="b">
        <v>0</v>
      </c>
      <c r="H349" t="b">
        <v>0</v>
      </c>
    </row>
    <row r="350">
      <c r="C350" t="str">
        <f>IFERROR(__xludf.DUMMYFUNCTION("AI(""The city of the university that is in the next row"")"),"I do not have enough information to answer the query. I am missing the name of the university in the next row to determine its city.")</f>
        <v>I do not have enough information to answer the query. I am missing the name of the university in the next row to determine its city.</v>
      </c>
      <c r="D350" t="b">
        <v>0</v>
      </c>
      <c r="E350" t="b">
        <v>0</v>
      </c>
      <c r="G350" t="b">
        <v>0</v>
      </c>
      <c r="H350" t="b">
        <v>0</v>
      </c>
    </row>
    <row r="351">
      <c r="C351" t="str">
        <f>IFERROR(__xludf.DUMMYFUNCTION("AI(""The city of the university that is in the next row"")"),"I do not have enough information to answer the query. I am missing the data for the university name in the next row (row 352) to determine its city.")</f>
        <v>I do not have enough information to answer the query. I am missing the data for the university name in the next row (row 352) to determine its city.</v>
      </c>
      <c r="D351" t="b">
        <v>0</v>
      </c>
      <c r="E351" t="b">
        <v>0</v>
      </c>
      <c r="G351" t="b">
        <v>0</v>
      </c>
      <c r="H351" t="b">
        <v>0</v>
      </c>
    </row>
    <row r="352">
      <c r="C352" t="str">
        <f>IFERROR(__xludf.DUMMYFUNCTION("AI(""The city of the university that is in the next row"")"),"I do not have enough information to answer the query. I am missing the university name in row 353 to determine its city.")</f>
        <v>I do not have enough information to answer the query. I am missing the university name in row 353 to determine its city.</v>
      </c>
      <c r="D352" t="b">
        <v>0</v>
      </c>
      <c r="E352" t="b">
        <v>0</v>
      </c>
      <c r="G352" t="b">
        <v>0</v>
      </c>
      <c r="H352" t="b">
        <v>0</v>
      </c>
    </row>
    <row r="353">
      <c r="C353" t="str">
        <f>IFERROR(__xludf.DUMMYFUNCTION("AI(""The city of the university that is in the next row"")"),"I do not have enough information to answer the query. I am missing the university name in the next row (row 354) to determine its city.")</f>
        <v>I do not have enough information to answer the query. I am missing the university name in the next row (row 354) to determine its city.</v>
      </c>
      <c r="D353" t="b">
        <v>0</v>
      </c>
      <c r="E353" t="b">
        <v>0</v>
      </c>
      <c r="G353" t="b">
        <v>0</v>
      </c>
      <c r="H353" t="b">
        <v>0</v>
      </c>
    </row>
    <row r="354">
      <c r="C354" t="str">
        <f>IFERROR(__xludf.DUMMYFUNCTION("AI(""The city of the university that is in the next row"")"),"=AI(""The city of the university that is in the next row"")")</f>
        <v>=AI("The city of the university that is in the next row")</v>
      </c>
      <c r="D354" t="b">
        <v>0</v>
      </c>
      <c r="E354" t="b">
        <v>0</v>
      </c>
      <c r="G354" t="b">
        <v>0</v>
      </c>
      <c r="H354" t="b">
        <v>0</v>
      </c>
    </row>
    <row r="355">
      <c r="C355" t="str">
        <f>IFERROR(__xludf.DUMMYFUNCTION("AI(""The city of the university that is in the next row"")"),"I do not have enough information to answer the query. I am missing the university name in the next row (row 356) to determine its city.")</f>
        <v>I do not have enough information to answer the query. I am missing the university name in the next row (row 356) to determine its city.</v>
      </c>
      <c r="D355" t="b">
        <v>0</v>
      </c>
      <c r="E355" t="b">
        <v>0</v>
      </c>
      <c r="G355" t="b">
        <v>0</v>
      </c>
      <c r="H355" t="b">
        <v>0</v>
      </c>
    </row>
    <row r="356">
      <c r="C356" t="str">
        <f>IFERROR(__xludf.DUMMYFUNCTION("AI(""The city of the university that is in the next row"")"),"I do not have enough information to answer the query. I am missing the name of the university in row 357 to determine its city.")</f>
        <v>I do not have enough information to answer the query. I am missing the name of the university in row 357 to determine its city.</v>
      </c>
      <c r="D356" t="b">
        <v>0</v>
      </c>
      <c r="E356" t="b">
        <v>0</v>
      </c>
      <c r="G356" t="b">
        <v>0</v>
      </c>
      <c r="H356" t="b">
        <v>0</v>
      </c>
    </row>
    <row r="357">
      <c r="C357" t="str">
        <f>IFERROR(__xludf.DUMMYFUNCTION("AI(""The city of the university that is in the next row"")"),"=AI(""The city of the university that is in the next row"")")</f>
        <v>=AI("The city of the university that is in the next row")</v>
      </c>
      <c r="D357" t="b">
        <v>0</v>
      </c>
      <c r="E357" t="b">
        <v>0</v>
      </c>
      <c r="G357" t="b">
        <v>0</v>
      </c>
      <c r="H357" t="b">
        <v>0</v>
      </c>
    </row>
    <row r="358">
      <c r="C358" t="str">
        <f>IFERROR(__xludf.DUMMYFUNCTION("AI(""The city of the university that is in the next row"")"),"I do not have enough information to answer the query. I am missing the university name in the next row (row 359) to determine its city.")</f>
        <v>I do not have enough information to answer the query. I am missing the university name in the next row (row 359) to determine its city.</v>
      </c>
      <c r="D358" t="b">
        <v>0</v>
      </c>
      <c r="E358" t="b">
        <v>0</v>
      </c>
      <c r="G358" t="b">
        <v>0</v>
      </c>
      <c r="H358" t="b">
        <v>0</v>
      </c>
    </row>
    <row r="359">
      <c r="C359" t="str">
        <f>IFERROR(__xludf.DUMMYFUNCTION("AI(""The city of the university that is in the next row"")"),"I do not have enough information to answer the query. I am missing the university name in the next row to determine its city.")</f>
        <v>I do not have enough information to answer the query. I am missing the university name in the next row to determine its city.</v>
      </c>
      <c r="D359" t="b">
        <v>0</v>
      </c>
      <c r="E359" t="b">
        <v>0</v>
      </c>
      <c r="G359" t="b">
        <v>0</v>
      </c>
      <c r="H359" t="b">
        <v>0</v>
      </c>
    </row>
    <row r="360">
      <c r="C360" t="str">
        <f>IFERROR(__xludf.DUMMYFUNCTION("AI(""The city of the university that is in the next row"")"),"I do not have enough information to answer the query. I am missing the university name for the next row (row 361) to determine its city.")</f>
        <v>I do not have enough information to answer the query. I am missing the university name for the next row (row 361) to determine its city.</v>
      </c>
      <c r="D360" t="b">
        <v>0</v>
      </c>
      <c r="E360" t="b">
        <v>0</v>
      </c>
      <c r="G360" t="b">
        <v>0</v>
      </c>
      <c r="H360" t="b">
        <v>0</v>
      </c>
    </row>
    <row r="361">
      <c r="C361" t="str">
        <f>IFERROR(__xludf.DUMMYFUNCTION("AI(""The city of the university that is in the next row"")"),"=AI(""The city of the university that is in the next row"")")</f>
        <v>=AI("The city of the university that is in the next row")</v>
      </c>
      <c r="D361" t="b">
        <v>0</v>
      </c>
      <c r="E361" t="b">
        <v>0</v>
      </c>
      <c r="G361" t="b">
        <v>0</v>
      </c>
      <c r="H361" t="b">
        <v>0</v>
      </c>
    </row>
    <row r="362">
      <c r="C362" t="str">
        <f>IFERROR(__xludf.DUMMYFUNCTION("AI(""The city of the university that is in the next row"")"),"=AI(""The city of the university that is in the next row"")")</f>
        <v>=AI("The city of the university that is in the next row")</v>
      </c>
      <c r="D362" t="b">
        <v>0</v>
      </c>
      <c r="E362" t="b">
        <v>0</v>
      </c>
      <c r="G362" t="b">
        <v>0</v>
      </c>
      <c r="H362" t="b">
        <v>0</v>
      </c>
    </row>
    <row r="363">
      <c r="C363" t="str">
        <f>IFERROR(__xludf.DUMMYFUNCTION("AI(""The city of the university that is in the next row"")"),"Cambridge")</f>
        <v>Cambridge</v>
      </c>
      <c r="D363" t="b">
        <v>0</v>
      </c>
      <c r="E363" t="b">
        <v>0</v>
      </c>
      <c r="G363" t="b">
        <v>0</v>
      </c>
      <c r="H363" t="b">
        <v>0</v>
      </c>
    </row>
    <row r="364">
      <c r="C364" t="str">
        <f>IFERROR(__xludf.DUMMYFUNCTION("AI(""The city of the university that is in the next row"")"),"I do not have enough information to answer the query. The name of the university in the next row (row 365) is missing from the provided spreadsheet context.")</f>
        <v>I do not have enough information to answer the query. The name of the university in the next row (row 365) is missing from the provided spreadsheet context.</v>
      </c>
      <c r="D364" t="b">
        <v>0</v>
      </c>
      <c r="E364" t="b">
        <v>0</v>
      </c>
      <c r="G364" t="b">
        <v>0</v>
      </c>
      <c r="H364" t="b">
        <v>0</v>
      </c>
    </row>
    <row r="365">
      <c r="C365" t="str">
        <f>IFERROR(__xludf.DUMMYFUNCTION("AI(""The city of the university that is in the next row"")"),"I do not have enough information to answer the query. I am missing the data for the university name in the next row (row 366) to determine its city.")</f>
        <v>I do not have enough information to answer the query. I am missing the data for the university name in the next row (row 366) to determine its city.</v>
      </c>
      <c r="D365" t="b">
        <v>0</v>
      </c>
      <c r="E365" t="b">
        <v>0</v>
      </c>
      <c r="G365" t="b">
        <v>0</v>
      </c>
      <c r="H365" t="b">
        <v>0</v>
      </c>
    </row>
    <row r="366">
      <c r="C366" t="str">
        <f>IFERROR(__xludf.DUMMYFUNCTION("AI(""The city of the university that is in the next row"")"),"=AI(""The city of the university that is in the next row"")")</f>
        <v>=AI("The city of the university that is in the next row")</v>
      </c>
      <c r="D366" t="b">
        <v>0</v>
      </c>
      <c r="E366" t="b">
        <v>0</v>
      </c>
      <c r="G366" t="b">
        <v>0</v>
      </c>
      <c r="H366" t="b">
        <v>0</v>
      </c>
    </row>
    <row r="367">
      <c r="C367" t="str">
        <f>IFERROR(__xludf.DUMMYFUNCTION("AI(""The city of the university that is in the next row"")"),"I do not have enough information to answer the query. I am missing the data for the university name in the next row (row 368) to determine its city.")</f>
        <v>I do not have enough information to answer the query. I am missing the data for the university name in the next row (row 368) to determine its city.</v>
      </c>
      <c r="D367" t="b">
        <v>0</v>
      </c>
      <c r="E367" t="b">
        <v>0</v>
      </c>
      <c r="G367" t="b">
        <v>0</v>
      </c>
      <c r="H367" t="b">
        <v>0</v>
      </c>
    </row>
    <row r="368">
      <c r="C368" t="str">
        <f>IFERROR(__xludf.DUMMYFUNCTION("AI(""The city of the university that is in the next row"")"),"I do not have enough information to answer the query. I am missing the name of the university in the next row (row 369) to determine its city.")</f>
        <v>I do not have enough information to answer the query. I am missing the name of the university in the next row (row 369) to determine its city.</v>
      </c>
      <c r="D368" t="b">
        <v>0</v>
      </c>
      <c r="E368" t="b">
        <v>0</v>
      </c>
      <c r="G368" t="b">
        <v>0</v>
      </c>
      <c r="H368" t="b">
        <v>0</v>
      </c>
    </row>
    <row r="369">
      <c r="C369" t="str">
        <f>IFERROR(__xludf.DUMMYFUNCTION("AI(""The city of the university that is in the next row"")"),"=AI(""The city of the university that is in the next row"")")</f>
        <v>=AI("The city of the university that is in the next row")</v>
      </c>
      <c r="D369" t="b">
        <v>0</v>
      </c>
      <c r="E369" t="b">
        <v>0</v>
      </c>
      <c r="G369" t="b">
        <v>0</v>
      </c>
      <c r="H369" t="b">
        <v>0</v>
      </c>
    </row>
    <row r="370">
      <c r="C370" t="str">
        <f>IFERROR(__xludf.DUMMYFUNCTION("AI(""The city of the university that is in the next row"")"),"=AI(""The city of the university that is in the next row"")")</f>
        <v>=AI("The city of the university that is in the next row")</v>
      </c>
      <c r="D370" t="b">
        <v>0</v>
      </c>
      <c r="E370" t="b">
        <v>0</v>
      </c>
      <c r="G370" t="b">
        <v>0</v>
      </c>
      <c r="H370" t="b">
        <v>0</v>
      </c>
    </row>
    <row r="371">
      <c r="C371" t="str">
        <f>IFERROR(__xludf.DUMMYFUNCTION("AI(""The city of the university that is in the next row"")"),"Birmingham")</f>
        <v>Birmingham</v>
      </c>
      <c r="D371" t="b">
        <v>0</v>
      </c>
      <c r="E371" t="b">
        <v>0</v>
      </c>
      <c r="G371" t="b">
        <v>0</v>
      </c>
      <c r="H371" t="b">
        <v>0</v>
      </c>
    </row>
    <row r="372">
      <c r="C372" t="str">
        <f>IFERROR(__xludf.DUMMYFUNCTION("AI(""The city of the university that is in the next row"")"),"=AI(""The city of the university that is in the next row"")")</f>
        <v>=AI("The city of the university that is in the next row")</v>
      </c>
      <c r="D372" t="b">
        <v>0</v>
      </c>
      <c r="E372" t="b">
        <v>0</v>
      </c>
      <c r="G372" t="b">
        <v>0</v>
      </c>
      <c r="H372" t="b">
        <v>0</v>
      </c>
    </row>
    <row r="373">
      <c r="C373" t="str">
        <f>IFERROR(__xludf.DUMMYFUNCTION("AI(""The city of the university that is in the next row"")"),"I do not have enough information to answer the query. I am missing the data for the university name in row 374 to determine its city.")</f>
        <v>I do not have enough information to answer the query. I am missing the data for the university name in row 374 to determine its city.</v>
      </c>
      <c r="D373" t="b">
        <v>0</v>
      </c>
      <c r="E373" t="b">
        <v>0</v>
      </c>
      <c r="G373" t="b">
        <v>0</v>
      </c>
      <c r="H373" t="b">
        <v>0</v>
      </c>
    </row>
    <row r="374">
      <c r="C374" t="str">
        <f>IFERROR(__xludf.DUMMYFUNCTION("AI(""The city of the university that is in the next row"")"),"I do not have enough information to determine the city because the university name is missing from the context.")</f>
        <v>I do not have enough information to determine the city because the university name is missing from the context.</v>
      </c>
      <c r="D374" t="b">
        <v>0</v>
      </c>
      <c r="E374" t="b">
        <v>0</v>
      </c>
      <c r="G374" t="b">
        <v>0</v>
      </c>
      <c r="H374" t="b">
        <v>0</v>
      </c>
    </row>
    <row r="375">
      <c r="C375" t="str">
        <f>IFERROR(__xludf.DUMMYFUNCTION("AI(""The city of the university that is in the next row"")"),"I do not have enough information to determine the city because the university name for the next row (row 376) is not provided in the spreadsheet context. Please include the university name to get the correct city.")</f>
        <v>I do not have enough information to determine the city because the university name for the next row (row 376) is not provided in the spreadsheet context. Please include the university name to get the correct city.</v>
      </c>
      <c r="D375" t="b">
        <v>0</v>
      </c>
      <c r="E375" t="b">
        <v>0</v>
      </c>
      <c r="G375" t="b">
        <v>0</v>
      </c>
      <c r="H375" t="b">
        <v>0</v>
      </c>
    </row>
    <row r="376">
      <c r="C376" t="str">
        <f>IFERROR(__xludf.DUMMYFUNCTION("AI(""The city of the university that is in the next row"")"),"I do not have enough information to answer the query because the spreadsheet context does not show the university name in the next row.")</f>
        <v>I do not have enough information to answer the query because the spreadsheet context does not show the university name in the next row.</v>
      </c>
      <c r="D376" t="b">
        <v>0</v>
      </c>
      <c r="E376" t="b">
        <v>0</v>
      </c>
      <c r="G376" t="b">
        <v>0</v>
      </c>
      <c r="H376" t="b">
        <v>0</v>
      </c>
    </row>
    <row r="377">
      <c r="C377" t="str">
        <f>IFERROR(__xludf.DUMMYFUNCTION("AI(""The city of the university that is in the next row"")"),"=AI(""The city of the university that is in the next row"")")</f>
        <v>=AI("The city of the university that is in the next row")</v>
      </c>
      <c r="D377" t="b">
        <v>0</v>
      </c>
      <c r="E377" t="b">
        <v>0</v>
      </c>
      <c r="G377" t="b">
        <v>0</v>
      </c>
      <c r="H377" t="b">
        <v>0</v>
      </c>
    </row>
    <row r="378">
      <c r="C378" t="str">
        <f>IFERROR(__xludf.DUMMYFUNCTION("AI(""The city of the university that is in the next row"")"),"I do not have enough information to answer the query. I am missing the university name in the next row (row 379) to determine its city.")</f>
        <v>I do not have enough information to answer the query. I am missing the university name in the next row (row 379) to determine its city.</v>
      </c>
      <c r="D378" t="b">
        <v>0</v>
      </c>
      <c r="E378" t="b">
        <v>0</v>
      </c>
      <c r="G378" t="b">
        <v>0</v>
      </c>
      <c r="H378" t="b">
        <v>0</v>
      </c>
    </row>
    <row r="379">
      <c r="C379" t="str">
        <f>IFERROR(__xludf.DUMMYFUNCTION("AI(""The city of the university that is in the next row"")"),"=AI(""The city of the university that is in the next row"")")</f>
        <v>=AI("The city of the university that is in the next row")</v>
      </c>
      <c r="D379" t="b">
        <v>0</v>
      </c>
      <c r="E379" t="b">
        <v>0</v>
      </c>
      <c r="G379" t="b">
        <v>0</v>
      </c>
      <c r="H379" t="b">
        <v>0</v>
      </c>
    </row>
    <row r="380">
      <c r="C380" t="str">
        <f>IFERROR(__xludf.DUMMYFUNCTION("AI(""The city of the university that is in the next row"")"),"I do not have enough information to answer the query. I am missing the university name for this row to determine its city.")</f>
        <v>I do not have enough information to answer the query. I am missing the university name for this row to determine its city.</v>
      </c>
      <c r="D380" t="b">
        <v>0</v>
      </c>
      <c r="E380" t="b">
        <v>0</v>
      </c>
      <c r="G380" t="b">
        <v>0</v>
      </c>
      <c r="H380" t="b">
        <v>0</v>
      </c>
    </row>
    <row r="381">
      <c r="C381" t="str">
        <f>IFERROR(__xludf.DUMMYFUNCTION("AI(""The city of the university that is in the next row"")"),"=AI(""The city of the university that is in the next row"")")</f>
        <v>=AI("The city of the university that is in the next row")</v>
      </c>
      <c r="D381" t="b">
        <v>0</v>
      </c>
      <c r="E381" t="b">
        <v>0</v>
      </c>
      <c r="G381" t="b">
        <v>0</v>
      </c>
      <c r="H381" t="b">
        <v>0</v>
      </c>
    </row>
    <row r="382">
      <c r="C382" t="str">
        <f>IFERROR(__xludf.DUMMYFUNCTION("AI(""The city of the university that is in the next row"")"),"I do not have enough information to answer this query. I am missing the data for the next row (row 383) to see which university is listed there.")</f>
        <v>I do not have enough information to answer this query. I am missing the data for the next row (row 383) to see which university is listed there.</v>
      </c>
      <c r="D382" t="b">
        <v>0</v>
      </c>
      <c r="E382" t="b">
        <v>0</v>
      </c>
      <c r="G382" t="b">
        <v>0</v>
      </c>
      <c r="H382" t="b">
        <v>0</v>
      </c>
    </row>
    <row r="383">
      <c r="C383" t="str">
        <f>IFERROR(__xludf.DUMMYFUNCTION("AI(""The city of the university that is in the next row"")"),"London")</f>
        <v>London</v>
      </c>
      <c r="D383" t="b">
        <v>0</v>
      </c>
      <c r="E383" t="b">
        <v>0</v>
      </c>
      <c r="G383" t="b">
        <v>0</v>
      </c>
      <c r="H383" t="b">
        <v>0</v>
      </c>
    </row>
    <row r="384">
      <c r="C384" t="str">
        <f>IFERROR(__xludf.DUMMYFUNCTION("AI(""The city of the university that is in the next row"")"),"=AI(""The city of the university that is in the next row"")")</f>
        <v>=AI("The city of the university that is in the next row")</v>
      </c>
      <c r="D384" t="b">
        <v>0</v>
      </c>
      <c r="E384" t="b">
        <v>0</v>
      </c>
      <c r="G384" t="b">
        <v>0</v>
      </c>
      <c r="H384" t="b">
        <v>0</v>
      </c>
    </row>
    <row r="385">
      <c r="C385" t="str">
        <f>IFERROR(__xludf.DUMMYFUNCTION("AI(""The city of the university that is in the next row"")"),"I do not have enough information to answer the query. I am missing the university name in the next row (row 386) to determine its city.")</f>
        <v>I do not have enough information to answer the query. I am missing the university name in the next row (row 386) to determine its city.</v>
      </c>
      <c r="D385" t="b">
        <v>0</v>
      </c>
      <c r="E385" t="b">
        <v>0</v>
      </c>
      <c r="G385" t="b">
        <v>0</v>
      </c>
      <c r="H385" t="b">
        <v>0</v>
      </c>
    </row>
    <row r="386">
      <c r="C386" t="str">
        <f>IFERROR(__xludf.DUMMYFUNCTION("AI(""The city of the university that is in the next row"")"),"I do not have enough information to answer the query. I am missing the name of the university in the next row (row 387) to determine its city.")</f>
        <v>I do not have enough information to answer the query. I am missing the name of the university in the next row (row 387) to determine its city.</v>
      </c>
      <c r="D386" t="b">
        <v>0</v>
      </c>
      <c r="E386" t="b">
        <v>0</v>
      </c>
      <c r="G386" t="b">
        <v>0</v>
      </c>
      <c r="H386" t="b">
        <v>0</v>
      </c>
    </row>
    <row r="387">
      <c r="C387" t="str">
        <f>IFERROR(__xludf.DUMMYFUNCTION("AI(""The city of the university that is in the next row"")"),"I do not have enough information to answer the query. I am missing the university name for this row to determine its city.")</f>
        <v>I do not have enough information to answer the query. I am missing the university name for this row to determine its city.</v>
      </c>
      <c r="D387" t="b">
        <v>0</v>
      </c>
      <c r="E387" t="b">
        <v>0</v>
      </c>
      <c r="G387" t="b">
        <v>0</v>
      </c>
      <c r="H387" t="b">
        <v>0</v>
      </c>
    </row>
    <row r="388">
      <c r="C388" t="str">
        <f>IFERROR(__xludf.DUMMYFUNCTION("AI(""The city of the university that is in the next row"")"),"=AI(""The city of the university that is in the next row"")")</f>
        <v>=AI("The city of the university that is in the next row")</v>
      </c>
      <c r="D388" t="b">
        <v>0</v>
      </c>
      <c r="E388" t="b">
        <v>0</v>
      </c>
      <c r="G388" t="b">
        <v>0</v>
      </c>
      <c r="H388" t="b">
        <v>0</v>
      </c>
    </row>
    <row r="389">
      <c r="C389" t="str">
        <f>IFERROR(__xludf.DUMMYFUNCTION("AI(""The city of the university that is in the next row"")"),"I do not have enough information to answer the query. I am missing the university name or context for row 390 to determine its city.")</f>
        <v>I do not have enough information to answer the query. I am missing the university name or context for row 390 to determine its city.</v>
      </c>
      <c r="D389" t="b">
        <v>0</v>
      </c>
      <c r="E389" t="b">
        <v>0</v>
      </c>
      <c r="G389" t="b">
        <v>0</v>
      </c>
      <c r="H389" t="b">
        <v>0</v>
      </c>
    </row>
    <row r="390">
      <c r="C390" t="str">
        <f>IFERROR(__xludf.DUMMYFUNCTION("AI(""The city of the university that is in the next row"")"),"I do not have enough information to answer the query. I am missing the university name for this row to determine its city.")</f>
        <v>I do not have enough information to answer the query. I am missing the university name for this row to determine its city.</v>
      </c>
      <c r="D390" t="b">
        <v>0</v>
      </c>
      <c r="E390" t="b">
        <v>0</v>
      </c>
      <c r="G390" t="b">
        <v>0</v>
      </c>
      <c r="H390" t="b">
        <v>0</v>
      </c>
    </row>
    <row r="391">
      <c r="C391" t="str">
        <f>IFERROR(__xludf.DUMMYFUNCTION("AI(""The city of the university that is in the next row"")"),"I do not have enough information to answer the query. The university name in row 392 is missing from the provided context.")</f>
        <v>I do not have enough information to answer the query. The university name in row 392 is missing from the provided context.</v>
      </c>
      <c r="D391" t="b">
        <v>0</v>
      </c>
      <c r="E391" t="b">
        <v>0</v>
      </c>
      <c r="G391" t="b">
        <v>0</v>
      </c>
      <c r="H391" t="b">
        <v>0</v>
      </c>
    </row>
    <row r="392">
      <c r="C392" t="str">
        <f>IFERROR(__xludf.DUMMYFUNCTION("AI(""The city of the university that is in the next row"")"),"I do not have enough information to answer the query. I am missing the university name in row 393 to determine its corresponding city.")</f>
        <v>I do not have enough information to answer the query. I am missing the university name in row 393 to determine its corresponding city.</v>
      </c>
      <c r="D392" t="b">
        <v>0</v>
      </c>
      <c r="E392" t="b">
        <v>0</v>
      </c>
      <c r="G392" t="b">
        <v>0</v>
      </c>
      <c r="H392" t="b">
        <v>0</v>
      </c>
    </row>
    <row r="393">
      <c r="C393" t="str">
        <f>IFERROR(__xludf.DUMMYFUNCTION("AI(""The city of the university that is in the next row"")"),"I do not have enough information to determine the city because the university name for this row is missing from the provided spreadsheet context. Please include the university name to get the correct city.")</f>
        <v>I do not have enough information to determine the city because the university name for this row is missing from the provided spreadsheet context. Please include the university name to get the correct city.</v>
      </c>
      <c r="D393" t="b">
        <v>0</v>
      </c>
      <c r="E393" t="b">
        <v>0</v>
      </c>
      <c r="G393" t="b">
        <v>0</v>
      </c>
      <c r="H393" t="b">
        <v>0</v>
      </c>
    </row>
    <row r="394">
      <c r="C394" t="str">
        <f>IFERROR(__xludf.DUMMYFUNCTION("AI(""The city of the university that is in the next row"")"),"=AI(""The city of the university that is in the next row"")")</f>
        <v>=AI("The city of the university that is in the next row")</v>
      </c>
      <c r="D394" t="b">
        <v>0</v>
      </c>
      <c r="E394" t="b">
        <v>0</v>
      </c>
      <c r="G394" t="b">
        <v>0</v>
      </c>
      <c r="H394" t="b">
        <v>0</v>
      </c>
    </row>
    <row r="395">
      <c r="C395" t="str">
        <f>IFERROR(__xludf.DUMMYFUNCTION("AI(""The city of the university that is in the next row"")"),"=AI(""The city of the university that is in the next row"")")</f>
        <v>=AI("The city of the university that is in the next row")</v>
      </c>
      <c r="D395" t="b">
        <v>0</v>
      </c>
      <c r="E395" t="b">
        <v>0</v>
      </c>
      <c r="G395" t="b">
        <v>0</v>
      </c>
      <c r="H395" t="b">
        <v>0</v>
      </c>
    </row>
    <row r="396">
      <c r="C396" t="str">
        <f>IFERROR(__xludf.DUMMYFUNCTION("AI(""The city of the university that is in the next row"")"),"I do not have enough information to answer the query. I am missing the data for the next row (row 397) to determine the university name and its city.")</f>
        <v>I do not have enough information to answer the query. I am missing the data for the next row (row 397) to determine the university name and its city.</v>
      </c>
      <c r="D396" t="b">
        <v>0</v>
      </c>
      <c r="E396" t="b">
        <v>0</v>
      </c>
      <c r="G396" t="b">
        <v>0</v>
      </c>
      <c r="H396" t="b">
        <v>0</v>
      </c>
    </row>
    <row r="397">
      <c r="C397" t="str">
        <f>IFERROR(__xludf.DUMMYFUNCTION("AI(""The city of the university that is in the next row"")"),"I do not have enough information to provide the city because the university name for this row is missing from the provided context.")</f>
        <v>I do not have enough information to provide the city because the university name for this row is missing from the provided context.</v>
      </c>
      <c r="D397" t="b">
        <v>0</v>
      </c>
      <c r="E397" t="b">
        <v>0</v>
      </c>
      <c r="G397" t="b">
        <v>0</v>
      </c>
      <c r="H397" t="b">
        <v>0</v>
      </c>
    </row>
    <row r="398">
      <c r="C398" t="str">
        <f>IFERROR(__xludf.DUMMYFUNCTION("AI(""The city of the university that is in the next row"")"),"I do not have enough information to answer the query. I am missing the university name for this row (or the next row) to determine its city.")</f>
        <v>I do not have enough information to answer the query. I am missing the university name for this row (or the next row) to determine its city.</v>
      </c>
      <c r="D398" t="b">
        <v>0</v>
      </c>
      <c r="E398" t="b">
        <v>0</v>
      </c>
      <c r="G398" t="b">
        <v>0</v>
      </c>
      <c r="H398" t="b">
        <v>0</v>
      </c>
    </row>
    <row r="399">
      <c r="C399" t="str">
        <f>IFERROR(__xludf.DUMMYFUNCTION("AI(""The city of the university that is in the next row"")"),"=AI(""The city of the university that is in the next row"")")</f>
        <v>=AI("The city of the university that is in the next row")</v>
      </c>
      <c r="D399" t="b">
        <v>0</v>
      </c>
      <c r="E399" t="b">
        <v>0</v>
      </c>
      <c r="G399" t="b">
        <v>0</v>
      </c>
      <c r="H399" t="b">
        <v>0</v>
      </c>
    </row>
    <row r="400">
      <c r="C400" t="str">
        <f>IFERROR(__xludf.DUMMYFUNCTION("AI(""The city of the university that is in the next row"")"),"=AI(""The city of the university that is in the next row"")")</f>
        <v>=AI("The city of the university that is in the next row")</v>
      </c>
      <c r="D400" t="b">
        <v>0</v>
      </c>
      <c r="E400" t="b">
        <v>0</v>
      </c>
      <c r="G400" t="b">
        <v>0</v>
      </c>
      <c r="H400" t="b">
        <v>0</v>
      </c>
    </row>
    <row r="401">
      <c r="C401" t="str">
        <f>IFERROR(__xludf.DUMMYFUNCTION("AI(""The city of the university that is in the next row"")"),"Please use the Gemini side panel instead.")</f>
        <v>Please use the Gemini side panel instead.</v>
      </c>
      <c r="D401" t="b">
        <v>0</v>
      </c>
      <c r="E401" t="b">
        <v>0</v>
      </c>
      <c r="G401" t="b">
        <v>0</v>
      </c>
      <c r="H401" t="b">
        <v>0</v>
      </c>
    </row>
    <row r="402">
      <c r="C402" t="str">
        <f>IFERROR(__xludf.DUMMYFUNCTION("AI(""The city of the university that is in the next row"")"),"I do not have enough information to answer the query. I am missing the university name for the row to determine its city.")</f>
        <v>I do not have enough information to answer the query. I am missing the university name for the row to determine its city.</v>
      </c>
      <c r="D402" t="b">
        <v>0</v>
      </c>
      <c r="E402" t="b">
        <v>0</v>
      </c>
      <c r="G402" t="b">
        <v>0</v>
      </c>
      <c r="H402" t="b">
        <v>0</v>
      </c>
    </row>
    <row r="403">
      <c r="C403" t="str">
        <f>IFERROR(__xludf.DUMMYFUNCTION("AI(""The city of the university that is in the next row"")"),"=AI(""The city of the university that is in the next row"")")</f>
        <v>=AI("The city of the university that is in the next row")</v>
      </c>
      <c r="D403" t="b">
        <v>0</v>
      </c>
      <c r="E403" t="b">
        <v>0</v>
      </c>
      <c r="G403" t="b">
        <v>0</v>
      </c>
      <c r="H403" t="b">
        <v>0</v>
      </c>
    </row>
    <row r="404">
      <c r="C404" t="str">
        <f>IFERROR(__xludf.DUMMYFUNCTION("AI(""The city of the university that is in the next row"")"),"I do not have enough information to answer the query because the spreadsheet data for the next row (row 405) is missing, so I cannot determine which university's city to provide.")</f>
        <v>I do not have enough information to answer the query because the spreadsheet data for the next row (row 405) is missing, so I cannot determine which university's city to provide.</v>
      </c>
      <c r="D404" t="b">
        <v>0</v>
      </c>
      <c r="E404" t="b">
        <v>0</v>
      </c>
      <c r="G404" t="b">
        <v>0</v>
      </c>
      <c r="H404" t="b">
        <v>0</v>
      </c>
    </row>
    <row r="405">
      <c r="C405" t="str">
        <f>IFERROR(__xludf.DUMMYFUNCTION("AI(""The city of the university that is in the next row"")"),"I do not have enough information to answer the query. The spreadsheet context does not provide the university name for the next row.")</f>
        <v>I do not have enough information to answer the query. The spreadsheet context does not provide the university name for the next row.</v>
      </c>
      <c r="D405" t="b">
        <v>0</v>
      </c>
      <c r="E405" t="b">
        <v>0</v>
      </c>
      <c r="G405" t="b">
        <v>0</v>
      </c>
      <c r="H405" t="b">
        <v>0</v>
      </c>
    </row>
    <row r="406">
      <c r="C406" t="str">
        <f>IFERROR(__xludf.DUMMYFUNCTION("AI(""The city of the university that is in the next row"")"),"I do not have enough information to answer the query. I am missing the university name in the next row (row 407) to determine its city.")</f>
        <v>I do not have enough information to answer the query. I am missing the university name in the next row (row 407) to determine its city.</v>
      </c>
      <c r="D406" t="b">
        <v>0</v>
      </c>
      <c r="E406" t="b">
        <v>0</v>
      </c>
      <c r="G406" t="b">
        <v>0</v>
      </c>
      <c r="H406" t="b">
        <v>0</v>
      </c>
    </row>
    <row r="407">
      <c r="C407" t="str">
        <f>IFERROR(__xludf.DUMMYFUNCTION("AI(""The city of the university that is in the next row"")"),"=AI(""The city of the university that is in the next row"")")</f>
        <v>=AI("The city of the university that is in the next row")</v>
      </c>
      <c r="D407" t="b">
        <v>0</v>
      </c>
      <c r="E407" t="b">
        <v>0</v>
      </c>
      <c r="G407" t="b">
        <v>0</v>
      </c>
      <c r="H407" t="b">
        <v>0</v>
      </c>
    </row>
    <row r="408">
      <c r="C408" t="str">
        <f>IFERROR(__xludf.DUMMYFUNCTION("AI(""The city of the university that is in the next row"")"),"I do not have enough information to answer the query. I am missing the name of the university in the next row (row 409) to determine its city.")</f>
        <v>I do not have enough information to answer the query. I am missing the name of the university in the next row (row 409) to determine its city.</v>
      </c>
      <c r="D408" t="b">
        <v>0</v>
      </c>
      <c r="E408" t="b">
        <v>0</v>
      </c>
      <c r="G408" t="b">
        <v>0</v>
      </c>
      <c r="H408" t="b">
        <v>0</v>
      </c>
    </row>
    <row r="409">
      <c r="C409" t="str">
        <f>IFERROR(__xludf.DUMMYFUNCTION("AI(""The city of the university that is in the next row"")"),"I do not have enough information to answer the query. I am missing the university name for this row or the next row to determine the correct city.")</f>
        <v>I do not have enough information to answer the query. I am missing the university name for this row or the next row to determine the correct city.</v>
      </c>
      <c r="D409" t="b">
        <v>0</v>
      </c>
      <c r="E409" t="b">
        <v>0</v>
      </c>
      <c r="G409" t="b">
        <v>0</v>
      </c>
      <c r="H409" t="b">
        <v>0</v>
      </c>
    </row>
    <row r="410">
      <c r="C410" t="str">
        <f>IFERROR(__xludf.DUMMYFUNCTION("AI(""The city of the university that is in the next row"")"),"=AI(""The city of the university that is in the next row"")")</f>
        <v>=AI("The city of the university that is in the next row")</v>
      </c>
      <c r="D410" t="b">
        <v>0</v>
      </c>
      <c r="E410" t="b">
        <v>0</v>
      </c>
      <c r="G410" t="b">
        <v>0</v>
      </c>
      <c r="H410" t="b">
        <v>0</v>
      </c>
    </row>
    <row r="411">
      <c r="C411" t="str">
        <f>IFERROR(__xludf.DUMMYFUNCTION("AI(""The city of the university that is in the next row"")"),"=AI(""The city of the university that is in the next row"")")</f>
        <v>=AI("The city of the university that is in the next row")</v>
      </c>
      <c r="D411" t="b">
        <v>0</v>
      </c>
      <c r="E411" t="b">
        <v>0</v>
      </c>
      <c r="G411" t="b">
        <v>0</v>
      </c>
      <c r="H411" t="b">
        <v>0</v>
      </c>
    </row>
    <row r="412">
      <c r="C412" t="str">
        <f>IFERROR(__xludf.DUMMYFUNCTION("AI(""The city of the university that is in the next row"")"),"I do not have enough information to answer the query. I am missing the university name in row 413 to determine its city.")</f>
        <v>I do not have enough information to answer the query. I am missing the university name in row 413 to determine its city.</v>
      </c>
      <c r="D412" t="b">
        <v>0</v>
      </c>
      <c r="E412" t="b">
        <v>0</v>
      </c>
      <c r="G412" t="b">
        <v>0</v>
      </c>
      <c r="H412" t="b">
        <v>0</v>
      </c>
    </row>
    <row r="413">
      <c r="C413" t="str">
        <f>IFERROR(__xludf.DUMMYFUNCTION("AI(""The city of the university that is in the next row"")"),"=AI(""The city of the university that is in the next row"")")</f>
        <v>=AI("The city of the university that is in the next row")</v>
      </c>
      <c r="D413" t="b">
        <v>0</v>
      </c>
      <c r="E413" t="b">
        <v>0</v>
      </c>
      <c r="G413" t="b">
        <v>0</v>
      </c>
      <c r="H413" t="b">
        <v>0</v>
      </c>
    </row>
    <row r="414">
      <c r="C414" t="str">
        <f>IFERROR(__xludf.DUMMYFUNCTION("AI(""The city of the university that is in the next row"")"),"=AI(""The city of the university that is in the next row"")")</f>
        <v>=AI("The city of the university that is in the next row")</v>
      </c>
      <c r="D414" t="b">
        <v>0</v>
      </c>
      <c r="E414" t="b">
        <v>0</v>
      </c>
      <c r="G414" t="b">
        <v>0</v>
      </c>
      <c r="H414" t="b">
        <v>0</v>
      </c>
    </row>
    <row r="415">
      <c r="C415" t="str">
        <f>IFERROR(__xludf.DUMMYFUNCTION("AI(""The city of the university that is in the next row"")"),"I do not have enough information to answer the query. I am missing the university name for this row to determine its city.")</f>
        <v>I do not have enough information to answer the query. I am missing the university name for this row to determine its city.</v>
      </c>
      <c r="D415" t="b">
        <v>0</v>
      </c>
      <c r="E415" t="b">
        <v>0</v>
      </c>
      <c r="G415" t="b">
        <v>0</v>
      </c>
      <c r="H415" t="b">
        <v>0</v>
      </c>
    </row>
    <row r="416">
      <c r="C416" t="str">
        <f>IFERROR(__xludf.DUMMYFUNCTION("AI(""The city of the university that is in the next row"")"),"=AI(""The city of the university that is in the next row"")")</f>
        <v>=AI("The city of the university that is in the next row")</v>
      </c>
      <c r="D416" t="b">
        <v>0</v>
      </c>
      <c r="E416" t="b">
        <v>0</v>
      </c>
      <c r="G416" t="b">
        <v>0</v>
      </c>
      <c r="H416" t="b">
        <v>0</v>
      </c>
    </row>
    <row r="417">
      <c r="C417" t="str">
        <f>IFERROR(__xludf.DUMMYFUNCTION("AI(""The city of the university that is in the next row"")"),"=AI(""The city of the university that is in the next row"")")</f>
        <v>=AI("The city of the university that is in the next row")</v>
      </c>
      <c r="D417" t="b">
        <v>0</v>
      </c>
      <c r="E417" t="b">
        <v>0</v>
      </c>
      <c r="G417" t="b">
        <v>0</v>
      </c>
      <c r="H417" t="b">
        <v>0</v>
      </c>
    </row>
    <row r="418">
      <c r="C418" t="str">
        <f>IFERROR(__xludf.DUMMYFUNCTION("AI(""The city of the university that is in the next row"")"),"I do not have enough information to answer the query. I am missing the university name for this row to determine its city.")</f>
        <v>I do not have enough information to answer the query. I am missing the university name for this row to determine its city.</v>
      </c>
      <c r="D418" t="b">
        <v>0</v>
      </c>
      <c r="E418" t="b">
        <v>0</v>
      </c>
      <c r="G418" t="b">
        <v>0</v>
      </c>
      <c r="H418" t="b">
        <v>0</v>
      </c>
    </row>
    <row r="419">
      <c r="C419" t="str">
        <f>IFERROR(__xludf.DUMMYFUNCTION("AI(""The city of the university that is in the next row"")"),"I do not have enough information to answer the query. I am missing the university name for the row to determine its city.")</f>
        <v>I do not have enough information to answer the query. I am missing the university name for the row to determine its city.</v>
      </c>
      <c r="D419" t="b">
        <v>0</v>
      </c>
      <c r="E419" t="b">
        <v>0</v>
      </c>
      <c r="G419" t="b">
        <v>0</v>
      </c>
      <c r="H419" t="b">
        <v>0</v>
      </c>
    </row>
    <row r="420">
      <c r="C420" t="str">
        <f>IFERROR(__xludf.DUMMYFUNCTION("AI(""The city of the university that is in the next row"")"),"=AI(""The city of the university that is in the next row"")")</f>
        <v>=AI("The city of the university that is in the next row")</v>
      </c>
      <c r="D420" t="b">
        <v>0</v>
      </c>
      <c r="E420" t="b">
        <v>0</v>
      </c>
      <c r="G420" t="b">
        <v>0</v>
      </c>
      <c r="H420" t="b">
        <v>0</v>
      </c>
    </row>
    <row r="421">
      <c r="C421" t="str">
        <f>IFERROR(__xludf.DUMMYFUNCTION("AI(""The city of the university that is in the next row"")"),"I do not have enough information to answer the query. I am missing the data for the next row (row 422), specifically the university name, to determine its city.")</f>
        <v>I do not have enough information to answer the query. I am missing the data for the next row (row 422), specifically the university name, to determine its city.</v>
      </c>
      <c r="D421" t="b">
        <v>0</v>
      </c>
      <c r="E421" t="b">
        <v>0</v>
      </c>
      <c r="G421" t="b">
        <v>0</v>
      </c>
      <c r="H421" t="b">
        <v>0</v>
      </c>
    </row>
    <row r="422">
      <c r="C422" t="str">
        <f>IFERROR(__xludf.DUMMYFUNCTION("AI(""The city of the university that is in the next row"")"),"=AI(""The city of the university that is in the next row"")")</f>
        <v>=AI("The city of the university that is in the next row")</v>
      </c>
      <c r="D422" t="b">
        <v>0</v>
      </c>
      <c r="E422" t="b">
        <v>0</v>
      </c>
      <c r="G422" t="b">
        <v>0</v>
      </c>
      <c r="H422" t="b">
        <v>0</v>
      </c>
    </row>
    <row r="423">
      <c r="C423" t="str">
        <f>IFERROR(__xludf.DUMMYFUNCTION("AI(""The city of the university that is in the next row"")"),"I do not have enough information to answer the query because the spreadsheet context does not show the university name in row 424. Please include the university name column for the next row to get the correct city.")</f>
        <v>I do not have enough information to answer the query because the spreadsheet context does not show the university name in row 424. Please include the university name column for the next row to get the correct city.</v>
      </c>
      <c r="D423" t="b">
        <v>0</v>
      </c>
      <c r="E423" t="b">
        <v>0</v>
      </c>
      <c r="G423" t="b">
        <v>0</v>
      </c>
      <c r="H423" t="b">
        <v>0</v>
      </c>
    </row>
    <row r="424">
      <c r="C424" t="str">
        <f>IFERROR(__xludf.DUMMYFUNCTION("AI(""The city of the university that is in the next row"")"),"I do not have enough information to provide the city. The university name for this row or the next row is missing from the provided spreadsheet data.")</f>
        <v>I do not have enough information to provide the city. The university name for this row or the next row is missing from the provided spreadsheet data.</v>
      </c>
      <c r="D424" t="b">
        <v>0</v>
      </c>
      <c r="E424" t="b">
        <v>0</v>
      </c>
      <c r="G424" t="b">
        <v>0</v>
      </c>
      <c r="H424" t="b">
        <v>0</v>
      </c>
    </row>
    <row r="425">
      <c r="C425" t="str">
        <f>IFERROR(__xludf.DUMMYFUNCTION("AI(""The city of the university that is in the next row"")"),"I do not have enough information to answer the query. I am missing the data for the next row (row 426) to identify the university name and its city.")</f>
        <v>I do not have enough information to answer the query. I am missing the data for the next row (row 426) to identify the university name and its city.</v>
      </c>
      <c r="D425" t="b">
        <v>0</v>
      </c>
      <c r="E425" t="b">
        <v>0</v>
      </c>
      <c r="G425" t="b">
        <v>0</v>
      </c>
      <c r="H425" t="b">
        <v>0</v>
      </c>
    </row>
    <row r="426">
      <c r="C426" t="str">
        <f>IFERROR(__xludf.DUMMYFUNCTION("AI(""The city of the university that is in the next row"")"),"I do not have enough information to answer this query. I am missing the university name in the next row (row 427) to determine its city.")</f>
        <v>I do not have enough information to answer this query. I am missing the university name in the next row (row 427) to determine its city.</v>
      </c>
      <c r="D426" t="b">
        <v>0</v>
      </c>
      <c r="E426" t="b">
        <v>0</v>
      </c>
      <c r="G426" t="b">
        <v>0</v>
      </c>
      <c r="H426" t="b">
        <v>0</v>
      </c>
    </row>
    <row r="427">
      <c r="C427" t="str">
        <f>IFERROR(__xludf.DUMMYFUNCTION("AI(""The city of the university that is in the next row"")"),"I do not have enough information to answer this query. I am missing the university name for the next row (row 428) to determine its city.")</f>
        <v>I do not have enough information to answer this query. I am missing the university name for the next row (row 428) to determine its city.</v>
      </c>
      <c r="D427" t="b">
        <v>0</v>
      </c>
      <c r="E427" t="b">
        <v>0</v>
      </c>
      <c r="G427" t="b">
        <v>0</v>
      </c>
      <c r="H427" t="b">
        <v>0</v>
      </c>
    </row>
    <row r="428">
      <c r="C428" t="str">
        <f>IFERROR(__xludf.DUMMYFUNCTION("AI(""The city of the university that is in the next row"")"),"=AI(""The city of the university that is in the next row"")")</f>
        <v>=AI("The city of the university that is in the next row")</v>
      </c>
      <c r="D428" t="b">
        <v>0</v>
      </c>
      <c r="E428" t="b">
        <v>0</v>
      </c>
      <c r="G428" t="b">
        <v>0</v>
      </c>
      <c r="H428" t="b">
        <v>0</v>
      </c>
    </row>
    <row r="429">
      <c r="C429" t="str">
        <f>IFERROR(__xludf.DUMMYFUNCTION("AI(""The city of the university that is in the next row"")"),"I do not have enough information to answer the query because the university name is missing from the provided context.")</f>
        <v>I do not have enough information to answer the query because the university name is missing from the provided context.</v>
      </c>
      <c r="D429" t="b">
        <v>0</v>
      </c>
      <c r="E429" t="b">
        <v>0</v>
      </c>
      <c r="G429" t="b">
        <v>0</v>
      </c>
      <c r="H429" t="b">
        <v>0</v>
      </c>
    </row>
    <row r="430">
      <c r="C430" t="str">
        <f>IFERROR(__xludf.DUMMYFUNCTION("AI(""The city of the university that is in the next row"")"),"I do not have enough information to determine the city because the university name for the next row (row 431) is missing from the provided spreadsheet context. Please include the university name in the next row to get the correct city.")</f>
        <v>I do not have enough information to determine the city because the university name for the next row (row 431) is missing from the provided spreadsheet context. Please include the university name in the next row to get the correct city.</v>
      </c>
      <c r="D430" t="b">
        <v>0</v>
      </c>
      <c r="E430" t="b">
        <v>0</v>
      </c>
      <c r="G430" t="b">
        <v>0</v>
      </c>
      <c r="H430" t="b">
        <v>0</v>
      </c>
    </row>
    <row r="431">
      <c r="C431" t="str">
        <f>IFERROR(__xludf.DUMMYFUNCTION("AI(""The city of the university that is in the next row"")"),"I do not have enough information to provide the city. The spreadsheet data for the university name in this row (or the next row) is missing from the provided context. Please include the university name column data for row 431 or 432 to get the correct cit"&amp;"y.")</f>
        <v>I do not have enough information to provide the city. The spreadsheet data for the university name in this row (or the next row) is missing from the provided context. Please include the university name column data for row 431 or 432 to get the correct city.</v>
      </c>
      <c r="D431" t="b">
        <v>0</v>
      </c>
      <c r="E431" t="b">
        <v>0</v>
      </c>
      <c r="G431" t="b">
        <v>0</v>
      </c>
      <c r="H431" t="b">
        <v>0</v>
      </c>
    </row>
    <row r="432">
      <c r="C432" t="str">
        <f>IFERROR(__xludf.DUMMYFUNCTION("AI(""The city of the university that is in the next row"")"),"I do not have enough information to answer the query. The spreadsheet context does not provide the university name for this row or the next row.")</f>
        <v>I do not have enough information to answer the query. The spreadsheet context does not provide the university name for this row or the next row.</v>
      </c>
      <c r="D432" t="b">
        <v>0</v>
      </c>
      <c r="E432" t="b">
        <v>0</v>
      </c>
      <c r="G432" t="b">
        <v>0</v>
      </c>
      <c r="H432" t="b">
        <v>0</v>
      </c>
    </row>
    <row r="433">
      <c r="C433" t="str">
        <f>IFERROR(__xludf.DUMMYFUNCTION("AI(""The city of the university that is in the next row"")"),"=AI(""The city of the university that is in the next row"")")</f>
        <v>=AI("The city of the university that is in the next row")</v>
      </c>
      <c r="D433" t="b">
        <v>0</v>
      </c>
      <c r="E433" t="b">
        <v>0</v>
      </c>
      <c r="G433" t="b">
        <v>0</v>
      </c>
      <c r="H433" t="b">
        <v>0</v>
      </c>
    </row>
    <row r="434">
      <c r="C434" t="str">
        <f>IFERROR(__xludf.DUMMYFUNCTION("AI(""The city of the university that is in the next row"")"),"I do not have enough information to answer the query. I am missing the university name for the next row (row 435) to determine its city.")</f>
        <v>I do not have enough information to answer the query. I am missing the university name for the next row (row 435) to determine its city.</v>
      </c>
      <c r="D434" t="b">
        <v>0</v>
      </c>
      <c r="E434" t="b">
        <v>0</v>
      </c>
      <c r="G434" t="b">
        <v>0</v>
      </c>
      <c r="H434" t="b">
        <v>0</v>
      </c>
    </row>
    <row r="435">
      <c r="C435" t="str">
        <f>IFERROR(__xludf.DUMMYFUNCTION("AI(""The city of the university that is in the next row"")"),"I do not have enough information to answer the query. The university name for the row is missing from the provided context.")</f>
        <v>I do not have enough information to answer the query. The university name for the row is missing from the provided context.</v>
      </c>
      <c r="D435" t="b">
        <v>0</v>
      </c>
      <c r="E435" t="b">
        <v>0</v>
      </c>
      <c r="G435" t="b">
        <v>0</v>
      </c>
      <c r="H435" t="b">
        <v>0</v>
      </c>
    </row>
    <row r="436">
      <c r="C436" t="str">
        <f>IFERROR(__xludf.DUMMYFUNCTION("AI(""The city of the university that is in the next row"")"),"I do not have enough information to answer this query. To provide the city, I need the name of the university listed in the next row (row 437), which is currently not visible in the provided data.")</f>
        <v>I do not have enough information to answer this query. To provide the city, I need the name of the university listed in the next row (row 437), which is currently not visible in the provided data.</v>
      </c>
      <c r="D436" t="b">
        <v>0</v>
      </c>
      <c r="E436" t="b">
        <v>0</v>
      </c>
      <c r="G436" t="b">
        <v>0</v>
      </c>
      <c r="H436" t="b">
        <v>0</v>
      </c>
    </row>
    <row r="437">
      <c r="C437" t="str">
        <f>IFERROR(__xludf.DUMMYFUNCTION("AI(""The city of the university that is in the next row"")"),"I do not have enough information to answer the query. I am missing the university name in the next row (row 438) to determine its city.")</f>
        <v>I do not have enough information to answer the query. I am missing the university name in the next row (row 438) to determine its city.</v>
      </c>
      <c r="D437" t="b">
        <v>0</v>
      </c>
      <c r="E437" t="b">
        <v>0</v>
      </c>
      <c r="G437" t="b">
        <v>0</v>
      </c>
      <c r="H437" t="b">
        <v>0</v>
      </c>
    </row>
    <row r="438">
      <c r="C438" t="str">
        <f>IFERROR(__xludf.DUMMYFUNCTION("AI(""The city of the university that is in the next row"")"),"I do not have enough information to answer the query. I am missing the university name in row 439 to determine its city.")</f>
        <v>I do not have enough information to answer the query. I am missing the university name in row 439 to determine its city.</v>
      </c>
      <c r="D438" t="b">
        <v>0</v>
      </c>
      <c r="E438" t="b">
        <v>0</v>
      </c>
      <c r="G438" t="b">
        <v>0</v>
      </c>
      <c r="H438" t="b">
        <v>0</v>
      </c>
    </row>
    <row r="439">
      <c r="C439" t="str">
        <f>IFERROR(__xludf.DUMMYFUNCTION("AI(""The city of the university that is in the next row"")"),"=AI(""The city of the university that is in the next row"")")</f>
        <v>=AI("The city of the university that is in the next row")</v>
      </c>
      <c r="D439" t="b">
        <v>0</v>
      </c>
      <c r="E439" t="b">
        <v>0</v>
      </c>
      <c r="G439" t="b">
        <v>0</v>
      </c>
      <c r="H439" t="b">
        <v>0</v>
      </c>
    </row>
    <row r="440">
      <c r="C440" t="str">
        <f>IFERROR(__xludf.DUMMYFUNCTION("AI(""The city of the university that is in the next row"")"),"I do not have enough information to answer the query. I am missing the university name for the next row (row 441) to determine its city.")</f>
        <v>I do not have enough information to answer the query. I am missing the university name for the next row (row 441) to determine its city.</v>
      </c>
      <c r="D440" t="b">
        <v>0</v>
      </c>
      <c r="E440" t="b">
        <v>0</v>
      </c>
      <c r="G440" t="b">
        <v>0</v>
      </c>
      <c r="H440" t="b">
        <v>0</v>
      </c>
    </row>
    <row r="441">
      <c r="C441" t="str">
        <f>IFERROR(__xludf.DUMMYFUNCTION("AI(""The city of the university that is in the next row"")"),"I do not have enough information to answer the query. I am missing the university name in the next row (row 442) to determine its city.")</f>
        <v>I do not have enough information to answer the query. I am missing the university name in the next row (row 442) to determine its city.</v>
      </c>
      <c r="D441" t="b">
        <v>0</v>
      </c>
      <c r="E441" t="b">
        <v>0</v>
      </c>
      <c r="G441" t="b">
        <v>0</v>
      </c>
      <c r="H441" t="b">
        <v>0</v>
      </c>
    </row>
    <row r="442">
      <c r="C442" t="str">
        <f>IFERROR(__xludf.DUMMYFUNCTION("AI(""The city of the university that is in the next row"")"),"I do not have enough information to answer the query. I am missing the university name in the next row (row 443) to determine its city.")</f>
        <v>I do not have enough information to answer the query. I am missing the university name in the next row (row 443) to determine its city.</v>
      </c>
      <c r="D442" t="b">
        <v>0</v>
      </c>
      <c r="E442" t="b">
        <v>0</v>
      </c>
      <c r="G442" t="b">
        <v>0</v>
      </c>
      <c r="H442" t="b">
        <v>0</v>
      </c>
    </row>
    <row r="443">
      <c r="C443" t="str">
        <f>IFERROR(__xludf.DUMMYFUNCTION("AI(""The city of the university that is in the next row"")"),"I do not have enough information to answer the query. I am missing the university name in the spreadsheet context to determine its city.")</f>
        <v>I do not have enough information to answer the query. I am missing the university name in the spreadsheet context to determine its city.</v>
      </c>
      <c r="D443" t="b">
        <v>0</v>
      </c>
      <c r="E443" t="b">
        <v>0</v>
      </c>
      <c r="G443" t="b">
        <v>0</v>
      </c>
      <c r="H443" t="b">
        <v>0</v>
      </c>
    </row>
    <row r="444">
      <c r="C444" t="str">
        <f>IFERROR(__xludf.DUMMYFUNCTION("AI(""The city of the university that is in the next row"")"),"I do not have enough information to answer the query. I am missing the data for the next row (row 445), specifically the university name, to determine its city.")</f>
        <v>I do not have enough information to answer the query. I am missing the data for the next row (row 445), specifically the university name, to determine its city.</v>
      </c>
      <c r="D444" t="b">
        <v>0</v>
      </c>
      <c r="E444" t="b">
        <v>0</v>
      </c>
      <c r="G444" t="b">
        <v>0</v>
      </c>
      <c r="H444" t="b">
        <v>0</v>
      </c>
    </row>
    <row r="445">
      <c r="C445" t="str">
        <f>IFERROR(__xludf.DUMMYFUNCTION("AI(""The city of the university that is in the next row"")"),"I do not have enough information to answer the query. I am missing the university name in the next row (row 446) to determine its city.")</f>
        <v>I do not have enough information to answer the query. I am missing the university name in the next row (row 446) to determine its city.</v>
      </c>
      <c r="D445" t="b">
        <v>0</v>
      </c>
      <c r="E445" t="b">
        <v>0</v>
      </c>
      <c r="G445" t="b">
        <v>0</v>
      </c>
      <c r="H445" t="b">
        <v>0</v>
      </c>
    </row>
    <row r="446">
      <c r="C446" t="str">
        <f>IFERROR(__xludf.DUMMYFUNCTION("AI(""The city of the university that is in the next row"")"),"I do not have enough information to determine the city because the university name in the next row is missing from the provided context.")</f>
        <v>I do not have enough information to determine the city because the university name in the next row is missing from the provided context.</v>
      </c>
      <c r="D446" t="b">
        <v>0</v>
      </c>
      <c r="E446" t="b">
        <v>0</v>
      </c>
      <c r="G446" t="b">
        <v>0</v>
      </c>
      <c r="H446" t="b">
        <v>0</v>
      </c>
    </row>
    <row r="447">
      <c r="C447" t="str">
        <f>IFERROR(__xludf.DUMMYFUNCTION("AI(""The city of the university that is in the next row"")"),"I do not have enough information to determine the city because the university name in the next row is not provided in the spreadsheet context.")</f>
        <v>I do not have enough information to determine the city because the university name in the next row is not provided in the spreadsheet context.</v>
      </c>
      <c r="D447" t="b">
        <v>0</v>
      </c>
      <c r="E447" t="b">
        <v>0</v>
      </c>
      <c r="G447" t="b">
        <v>0</v>
      </c>
      <c r="H447" t="b">
        <v>0</v>
      </c>
    </row>
    <row r="448">
      <c r="C448" t="str">
        <f>IFERROR(__xludf.DUMMYFUNCTION("AI(""The city of the university that is in the next row"")"),"I do not have enough information to answer the query. I am missing the name of the university in the next row (row 449) to determine its city.")</f>
        <v>I do not have enough information to answer the query. I am missing the name of the university in the next row (row 449) to determine its city.</v>
      </c>
      <c r="D448" t="b">
        <v>0</v>
      </c>
      <c r="E448" t="b">
        <v>0</v>
      </c>
      <c r="G448" t="b">
        <v>0</v>
      </c>
      <c r="H448" t="b">
        <v>0</v>
      </c>
    </row>
    <row r="449">
      <c r="C449" t="str">
        <f>IFERROR(__xludf.DUMMYFUNCTION("AI(""The city of the university that is in the next row"")"),"I do not have enough information to answer. I am missing the university name in the next row (row 450) to determine its city.")</f>
        <v>I do not have enough information to answer. I am missing the university name in the next row (row 450) to determine its city.</v>
      </c>
      <c r="D449" t="b">
        <v>0</v>
      </c>
      <c r="E449" t="b">
        <v>0</v>
      </c>
      <c r="G449" t="b">
        <v>0</v>
      </c>
      <c r="H449" t="b">
        <v>0</v>
      </c>
    </row>
    <row r="450">
      <c r="C450" t="str">
        <f>IFERROR(__xludf.DUMMYFUNCTION("AI(""The city of the university that is in the next row"")"),"I do not have enough information to answer the query. I am missing the name of the university in the next row (row 451) to determine its city.")</f>
        <v>I do not have enough information to answer the query. I am missing the name of the university in the next row (row 451) to determine its city.</v>
      </c>
      <c r="D450" t="b">
        <v>0</v>
      </c>
      <c r="E450" t="b">
        <v>0</v>
      </c>
      <c r="G450" t="b">
        <v>0</v>
      </c>
      <c r="H450" t="b">
        <v>0</v>
      </c>
    </row>
    <row r="451">
      <c r="C451" t="str">
        <f>IFERROR(__xludf.DUMMYFUNCTION("AI(""The city of the university that is in the next row"")"),"=AI(""The city of the university that is in the next row"")")</f>
        <v>=AI("The city of the university that is in the next row")</v>
      </c>
      <c r="D451" t="b">
        <v>0</v>
      </c>
      <c r="E451" t="b">
        <v>0</v>
      </c>
      <c r="G451" t="b">
        <v>0</v>
      </c>
      <c r="H451" t="b">
        <v>0</v>
      </c>
    </row>
    <row r="452">
      <c r="C452" t="str">
        <f>IFERROR(__xludf.DUMMYFUNCTION("AI(""The city of the university that is in the next row"")"),"I do not have enough information to answer the query. I am missing the university name for this row to determine its city.")</f>
        <v>I do not have enough information to answer the query. I am missing the university name for this row to determine its city.</v>
      </c>
      <c r="D452" t="b">
        <v>0</v>
      </c>
      <c r="E452" t="b">
        <v>0</v>
      </c>
      <c r="G452" t="b">
        <v>0</v>
      </c>
      <c r="H452" t="b">
        <v>0</v>
      </c>
    </row>
    <row r="453">
      <c r="C453" t="str">
        <f>IFERROR(__xludf.DUMMYFUNCTION("AI(""The city of the university that is in the next row"")"),"I do not have enough information to answer the query. I am missing the university name in the subsequent row to determine its city.")</f>
        <v>I do not have enough information to answer the query. I am missing the university name in the subsequent row to determine its city.</v>
      </c>
      <c r="D453" t="b">
        <v>0</v>
      </c>
      <c r="E453" t="b">
        <v>0</v>
      </c>
      <c r="G453" t="b">
        <v>0</v>
      </c>
      <c r="H453" t="b">
        <v>0</v>
      </c>
    </row>
    <row r="454">
      <c r="C454" t="str">
        <f>IFERROR(__xludf.DUMMYFUNCTION("AI(""The city of the university that is in the next row"")"),"=AI(""The city of the university that is in the next row"")")</f>
        <v>=AI("The city of the university that is in the next row")</v>
      </c>
      <c r="D454" t="b">
        <v>0</v>
      </c>
      <c r="E454" t="b">
        <v>0</v>
      </c>
      <c r="G454" t="b">
        <v>0</v>
      </c>
      <c r="H454" t="b">
        <v>0</v>
      </c>
    </row>
    <row r="455">
      <c r="C455" t="str">
        <f>IFERROR(__xludf.DUMMYFUNCTION("AI(""The city of the university that is in the next row"")"),"I do not have enough information to answer the query. I am missing the university name in the row to determine its city.")</f>
        <v>I do not have enough information to answer the query. I am missing the university name in the row to determine its city.</v>
      </c>
      <c r="D455" t="b">
        <v>0</v>
      </c>
      <c r="E455" t="b">
        <v>0</v>
      </c>
      <c r="G455" t="b">
        <v>0</v>
      </c>
      <c r="H455" t="b">
        <v>0</v>
      </c>
    </row>
    <row r="456">
      <c r="C456" t="str">
        <f>IFERROR(__xludf.DUMMYFUNCTION("AI(""The city of the university that is in the next row"")"),"=AI(""The city of the university that is in the next row"")")</f>
        <v>=AI("The city of the university that is in the next row")</v>
      </c>
      <c r="D456" t="b">
        <v>0</v>
      </c>
      <c r="E456" t="b">
        <v>0</v>
      </c>
      <c r="G456" t="b">
        <v>0</v>
      </c>
      <c r="H456" t="b">
        <v>0</v>
      </c>
    </row>
    <row r="457">
      <c r="C457" t="str">
        <f>IFERROR(__xludf.DUMMYFUNCTION("AI(""The city of the university that is in the next row"")"),"I do not have enough information to answer the query. I am missing the university name in row 458 to determine its city.")</f>
        <v>I do not have enough information to answer the query. I am missing the university name in row 458 to determine its city.</v>
      </c>
      <c r="D457" t="b">
        <v>0</v>
      </c>
      <c r="E457" t="b">
        <v>0</v>
      </c>
      <c r="G457" t="b">
        <v>0</v>
      </c>
      <c r="H457" t="b">
        <v>0</v>
      </c>
    </row>
    <row r="458">
      <c r="C458" t="str">
        <f>IFERROR(__xludf.DUMMYFUNCTION("AI(""The city of the university that is in the next row"")"),"I do not have enough information to answer the query. I am missing the university name for the row to determine its corresponding city.")</f>
        <v>I do not have enough information to answer the query. I am missing the university name for the row to determine its corresponding city.</v>
      </c>
      <c r="D458" t="b">
        <v>0</v>
      </c>
      <c r="E458" t="b">
        <v>0</v>
      </c>
      <c r="G458" t="b">
        <v>0</v>
      </c>
      <c r="H458" t="b">
        <v>0</v>
      </c>
    </row>
    <row r="459">
      <c r="C459" t="str">
        <f>IFERROR(__xludf.DUMMYFUNCTION("AI(""The city of the university that is in the next row"")"),"I do not have enough information to determine the city because the university name for the next row is not visible in the provided data.")</f>
        <v>I do not have enough information to determine the city because the university name for the next row is not visible in the provided data.</v>
      </c>
      <c r="D459" t="b">
        <v>0</v>
      </c>
      <c r="E459" t="b">
        <v>0</v>
      </c>
      <c r="G459" t="b">
        <v>0</v>
      </c>
      <c r="H459" t="b">
        <v>0</v>
      </c>
    </row>
    <row r="460">
      <c r="C460" t="str">
        <f>IFERROR(__xludf.DUMMYFUNCTION("AI(""The city of the university that is in the next row"")"),"I do not have enough information to answer the query. The table provided does not include the university name for the next row (row 461) to determine its city.")</f>
        <v>I do not have enough information to answer the query. The table provided does not include the university name for the next row (row 461) to determine its city.</v>
      </c>
      <c r="D460" t="b">
        <v>0</v>
      </c>
      <c r="E460" t="b">
        <v>0</v>
      </c>
      <c r="G460" t="b">
        <v>0</v>
      </c>
      <c r="H460" t="b">
        <v>0</v>
      </c>
    </row>
    <row r="461">
      <c r="C461" t="str">
        <f>IFERROR(__xludf.DUMMYFUNCTION("AI(""The city of the university that is in the next row"")"),"I do not have enough information to answer the query. I am missing the name of the university in the next row (row 462) to determine its city.")</f>
        <v>I do not have enough information to answer the query. I am missing the name of the university in the next row (row 462) to determine its city.</v>
      </c>
      <c r="D461" t="b">
        <v>0</v>
      </c>
      <c r="E461" t="b">
        <v>0</v>
      </c>
      <c r="G461" t="b">
        <v>0</v>
      </c>
      <c r="H461" t="b">
        <v>0</v>
      </c>
    </row>
    <row r="462">
      <c r="C462" t="str">
        <f>IFERROR(__xludf.DUMMYFUNCTION("AI(""The city of the university that is in the next row"")"),"I do not have enough information to provide the city because the university name in the next row (row 463) is not visible in the provided context. Please include the university name for row 463.")</f>
        <v>I do not have enough information to provide the city because the university name in the next row (row 463) is not visible in the provided context. Please include the university name for row 463.</v>
      </c>
      <c r="D462" t="b">
        <v>0</v>
      </c>
      <c r="E462" t="b">
        <v>0</v>
      </c>
      <c r="G462" t="b">
        <v>0</v>
      </c>
      <c r="H462" t="b">
        <v>0</v>
      </c>
    </row>
    <row r="463">
      <c r="C463" t="str">
        <f>IFERROR(__xludf.DUMMYFUNCTION("AI(""The city of the university that is in the next row"")"),"I do not have enough information to answer the query. The university name column for this row is blank, so I cannot determine its city.")</f>
        <v>I do not have enough information to answer the query. The university name column for this row is blank, so I cannot determine its city.</v>
      </c>
      <c r="D463" t="b">
        <v>0</v>
      </c>
      <c r="E463" t="b">
        <v>0</v>
      </c>
      <c r="G463" t="b">
        <v>0</v>
      </c>
      <c r="H463" t="b">
        <v>0</v>
      </c>
    </row>
    <row r="464">
      <c r="C464" t="str">
        <f>IFERROR(__xludf.DUMMYFUNCTION("AI(""The city of the university that is in the next row"")"),"I do not have enough information to answer this query. I am missing the university name in the next row (row 465) to determine its city.")</f>
        <v>I do not have enough information to answer this query. I am missing the university name in the next row (row 465) to determine its city.</v>
      </c>
      <c r="D464" t="b">
        <v>0</v>
      </c>
      <c r="E464" t="b">
        <v>0</v>
      </c>
      <c r="G464" t="b">
        <v>0</v>
      </c>
      <c r="H464" t="b">
        <v>0</v>
      </c>
    </row>
    <row r="465">
      <c r="C465" t="str">
        <f>IFERROR(__xludf.DUMMYFUNCTION("AI(""The city of the university that is in the next row"")"),"I do not have enough information to answer the query. I am missing the university name for this row to determine its city.")</f>
        <v>I do not have enough information to answer the query. I am missing the university name for this row to determine its city.</v>
      </c>
      <c r="D465" t="b">
        <v>0</v>
      </c>
      <c r="E465" t="b">
        <v>0</v>
      </c>
      <c r="G465" t="b">
        <v>0</v>
      </c>
      <c r="H465" t="b">
        <v>0</v>
      </c>
    </row>
    <row r="466">
      <c r="C466" t="str">
        <f>IFERROR(__xludf.DUMMYFUNCTION("AI(""The city of the university that is in the next row"")"),"I do not have enough information to answer the query. I am missing the university name in the next row (row 467) to determine its city.")</f>
        <v>I do not have enough information to answer the query. I am missing the university name in the next row (row 467) to determine its city.</v>
      </c>
      <c r="D466" t="b">
        <v>0</v>
      </c>
      <c r="E466" t="b">
        <v>0</v>
      </c>
      <c r="G466" t="b">
        <v>0</v>
      </c>
      <c r="H466" t="b">
        <v>0</v>
      </c>
    </row>
    <row r="467">
      <c r="C467" t="str">
        <f>IFERROR(__xludf.DUMMYFUNCTION("AI(""The city of the university that is in the next row"")"),"I do not have enough information to answer the query. I am missing the name of the university in the next row (row 468) to determine its city.")</f>
        <v>I do not have enough information to answer the query. I am missing the name of the university in the next row (row 468) to determine its city.</v>
      </c>
      <c r="D467" t="b">
        <v>0</v>
      </c>
      <c r="E467" t="b">
        <v>0</v>
      </c>
      <c r="G467" t="b">
        <v>0</v>
      </c>
      <c r="H467" t="b">
        <v>0</v>
      </c>
    </row>
    <row r="468">
      <c r="C468" t="str">
        <f>IFERROR(__xludf.DUMMYFUNCTION("AI(""The city of the university that is in the next row"")"),"I do not have enough information to answer the query. The university name for the specified row is missing from the provided sheet context.")</f>
        <v>I do not have enough information to answer the query. The university name for the specified row is missing from the provided sheet context.</v>
      </c>
      <c r="D468" t="b">
        <v>0</v>
      </c>
      <c r="E468" t="b">
        <v>0</v>
      </c>
      <c r="G468" t="b">
        <v>0</v>
      </c>
      <c r="H468" t="b">
        <v>0</v>
      </c>
    </row>
    <row r="469">
      <c r="C469" t="str">
        <f>IFERROR(__xludf.DUMMYFUNCTION("AI(""The city of the university that is in the next row"")"),"I do not have enough information to answer the query. I am missing the data for the next row (row 470) to determine its university and city.")</f>
        <v>I do not have enough information to answer the query. I am missing the data for the next row (row 470) to determine its university and city.</v>
      </c>
      <c r="D469" t="b">
        <v>0</v>
      </c>
      <c r="E469" t="b">
        <v>0</v>
      </c>
      <c r="G469" t="b">
        <v>0</v>
      </c>
      <c r="H469" t="b">
        <v>0</v>
      </c>
    </row>
    <row r="470">
      <c r="C470" t="str">
        <f>IFERROR(__xludf.DUMMYFUNCTION("AI(""The city of the university that is in the next row"")"),"I do not have enough information to answer the query. I am missing the university name for this row (Column B) to determine its city.")</f>
        <v>I do not have enough information to answer the query. I am missing the university name for this row (Column B) to determine its city.</v>
      </c>
      <c r="D470" t="b">
        <v>0</v>
      </c>
      <c r="E470" t="b">
        <v>0</v>
      </c>
      <c r="G470" t="b">
        <v>0</v>
      </c>
      <c r="H470" t="b">
        <v>0</v>
      </c>
    </row>
    <row r="471">
      <c r="C471" t="str">
        <f>IFERROR(__xludf.DUMMYFUNCTION("AI(""The city of the university that is in the next row"")"),"I do not have enough information to answer the query. I am missing the data for the next row (row 472), specifically the university name, to determine its city.")</f>
        <v>I do not have enough information to answer the query. I am missing the data for the next row (row 472), specifically the university name, to determine its city.</v>
      </c>
      <c r="D471" t="b">
        <v>0</v>
      </c>
      <c r="E471" t="b">
        <v>0</v>
      </c>
      <c r="G471" t="b">
        <v>0</v>
      </c>
      <c r="H471" t="b">
        <v>0</v>
      </c>
    </row>
    <row r="472">
      <c r="C472" t="str">
        <f>IFERROR(__xludf.DUMMYFUNCTION("AI(""The city of the university that is in the next row"")"),"=AI(""The city of the university that is in the next row"")")</f>
        <v>=AI("The city of the university that is in the next row")</v>
      </c>
      <c r="D472" t="b">
        <v>0</v>
      </c>
      <c r="E472" t="b">
        <v>0</v>
      </c>
      <c r="G472" t="b">
        <v>0</v>
      </c>
      <c r="H472" t="b">
        <v>0</v>
      </c>
    </row>
    <row r="473">
      <c r="C473" t="str">
        <f>IFERROR(__xludf.DUMMYFUNCTION("AI(""The city of the university that is in the next row"")"),"I do not have enough information to answer the query. I am missing the university name for the row to determine its city.")</f>
        <v>I do not have enough information to answer the query. I am missing the university name for the row to determine its city.</v>
      </c>
      <c r="D473" t="b">
        <v>0</v>
      </c>
      <c r="E473" t="b">
        <v>0</v>
      </c>
      <c r="G473" t="b">
        <v>0</v>
      </c>
      <c r="H473" t="b">
        <v>0</v>
      </c>
    </row>
    <row r="474">
      <c r="C474" t="str">
        <f>IFERROR(__xludf.DUMMYFUNCTION("AI(""The city of the university that is in the next row"")"),"I do not have enough information to answer the query. I am missing the name of the university for this row to determine its city.")</f>
        <v>I do not have enough information to answer the query. I am missing the name of the university for this row to determine its city.</v>
      </c>
      <c r="D474" t="b">
        <v>0</v>
      </c>
      <c r="E474" t="b">
        <v>0</v>
      </c>
      <c r="G474" t="b">
        <v>0</v>
      </c>
      <c r="H474" t="b">
        <v>0</v>
      </c>
    </row>
    <row r="475">
      <c r="C475" t="str">
        <f>IFERROR(__xludf.DUMMYFUNCTION("AI(""The city of the university that is in the next row"")"),"I do not have enough information to answer the query because the university name in the next row (row 476) is not provided in the spreadsheet context.")</f>
        <v>I do not have enough information to answer the query because the university name in the next row (row 476) is not provided in the spreadsheet context.</v>
      </c>
      <c r="D475" t="b">
        <v>0</v>
      </c>
      <c r="E475" t="b">
        <v>0</v>
      </c>
      <c r="G475" t="b">
        <v>0</v>
      </c>
      <c r="H475" t="b">
        <v>0</v>
      </c>
    </row>
    <row r="476">
      <c r="C476" t="str">
        <f>IFERROR(__xludf.DUMMYFUNCTION("AI(""The city of the university that is in the next row"")"),"I do not have enough information to answer the query. The spreadsheet context provided does not include the university names or data for the subsequent rows (such as row 477) to determine the city.")</f>
        <v>I do not have enough information to answer the query. The spreadsheet context provided does not include the university names or data for the subsequent rows (such as row 477) to determine the city.</v>
      </c>
      <c r="D476" t="b">
        <v>0</v>
      </c>
      <c r="E476" t="b">
        <v>0</v>
      </c>
      <c r="G476" t="b">
        <v>0</v>
      </c>
      <c r="H476" t="b">
        <v>0</v>
      </c>
    </row>
    <row r="477">
      <c r="C477" t="str">
        <f>IFERROR(__xludf.DUMMYFUNCTION("AI(""The city of the university that is in the next row"")"),"I do not have enough information to answer the query. The spreadsheet context does not provide the university name for this row or the next row to determine the city.")</f>
        <v>I do not have enough information to answer the query. The spreadsheet context does not provide the university name for this row or the next row to determine the city.</v>
      </c>
      <c r="D477" t="b">
        <v>0</v>
      </c>
      <c r="E477" t="b">
        <v>0</v>
      </c>
      <c r="G477" t="b">
        <v>0</v>
      </c>
      <c r="H477" t="b">
        <v>0</v>
      </c>
    </row>
    <row r="478">
      <c r="C478" t="str">
        <f>IFERROR(__xludf.DUMMYFUNCTION("AI(""The city of the university that is in the next row"")"),"=AI(""The city of the university that is in the next row"")")</f>
        <v>=AI("The city of the university that is in the next row")</v>
      </c>
      <c r="D478" t="b">
        <v>0</v>
      </c>
      <c r="E478" t="b">
        <v>0</v>
      </c>
      <c r="G478" t="b">
        <v>0</v>
      </c>
      <c r="H478" t="b">
        <v>0</v>
      </c>
    </row>
    <row r="479">
      <c r="C479" t="str">
        <f>IFERROR(__xludf.DUMMYFUNCTION("AI(""The city of the university that is in the next row"")"),"I do not have enough information to answer the query. I am missing the data for the university name in the next row (row 480) to determine its city.")</f>
        <v>I do not have enough information to answer the query. I am missing the data for the university name in the next row (row 480) to determine its city.</v>
      </c>
      <c r="D479" t="b">
        <v>0</v>
      </c>
      <c r="E479" t="b">
        <v>0</v>
      </c>
      <c r="G479" t="b">
        <v>0</v>
      </c>
      <c r="H479" t="b">
        <v>0</v>
      </c>
    </row>
    <row r="480">
      <c r="C480" t="str">
        <f>IFERROR(__xludf.DUMMYFUNCTION("AI(""The city of the university that is in the next row"")"),"I do not have enough information to provide the city because the university name for this row is missing from the context.")</f>
        <v>I do not have enough information to provide the city because the university name for this row is missing from the context.</v>
      </c>
      <c r="D480" t="b">
        <v>0</v>
      </c>
      <c r="E480" t="b">
        <v>0</v>
      </c>
      <c r="G480" t="b">
        <v>0</v>
      </c>
      <c r="H480" t="b">
        <v>0</v>
      </c>
    </row>
    <row r="481">
      <c r="C481" t="str">
        <f>IFERROR(__xludf.DUMMYFUNCTION("AI(""The city of the university that is in the next row"")"),"I do not have enough information to answer the query. I am missing the university name for the row to determine its city.")</f>
        <v>I do not have enough information to answer the query. I am missing the university name for the row to determine its city.</v>
      </c>
      <c r="D481" t="b">
        <v>0</v>
      </c>
      <c r="E481" t="b">
        <v>0</v>
      </c>
      <c r="G481" t="b">
        <v>0</v>
      </c>
      <c r="H481" t="b">
        <v>0</v>
      </c>
    </row>
    <row r="482">
      <c r="C482" t="str">
        <f>IFERROR(__xludf.DUMMYFUNCTION("AI(""The city of the university that is in the next row"")"),"=AI(""The city of the university that is in the next row"")")</f>
        <v>=AI("The city of the university that is in the next row")</v>
      </c>
      <c r="D482" t="b">
        <v>0</v>
      </c>
      <c r="E482" t="b">
        <v>0</v>
      </c>
      <c r="G482" t="b">
        <v>0</v>
      </c>
      <c r="H482" t="b">
        <v>0</v>
      </c>
    </row>
    <row r="483">
      <c r="C483" t="str">
        <f>IFERROR(__xludf.DUMMYFUNCTION("AI(""The city of the university that is in the next row"")"),"I do not have enough information to answer the query because the university name in the next row (row 484) is not provided in the spreadsheet context. Please provide the university name to find its city.")</f>
        <v>I do not have enough information to answer the query because the university name in the next row (row 484) is not provided in the spreadsheet context. Please provide the university name to find its city.</v>
      </c>
      <c r="D483" t="b">
        <v>0</v>
      </c>
      <c r="E483" t="b">
        <v>0</v>
      </c>
      <c r="G483" t="b">
        <v>0</v>
      </c>
      <c r="H483" t="b">
        <v>0</v>
      </c>
    </row>
    <row r="484">
      <c r="C484" t="str">
        <f>IFERROR(__xludf.DUMMYFUNCTION("AI(""The city of the university that is in the next row"")"),"Aberdeen")</f>
        <v>Aberdeen</v>
      </c>
      <c r="D484" t="b">
        <v>0</v>
      </c>
      <c r="E484" t="b">
        <v>0</v>
      </c>
      <c r="G484" t="b">
        <v>0</v>
      </c>
      <c r="H484" t="b">
        <v>0</v>
      </c>
    </row>
    <row r="485">
      <c r="C485" t="str">
        <f>IFERROR(__xludf.DUMMYFUNCTION("AI(""The city of the university that is in the next row"")"),"I do not have enough information to answer the query. I am missing the university name for the next row to determine its city.")</f>
        <v>I do not have enough information to answer the query. I am missing the university name for the next row to determine its city.</v>
      </c>
      <c r="D485" t="b">
        <v>0</v>
      </c>
      <c r="E485" t="b">
        <v>0</v>
      </c>
      <c r="G485" t="b">
        <v>0</v>
      </c>
      <c r="H485" t="b">
        <v>0</v>
      </c>
    </row>
    <row r="486">
      <c r="C486" t="str">
        <f>IFERROR(__xludf.DUMMYFUNCTION("AI(""The city of the university that is in the next row"")"),"I do not have enough information to answer the query because the spreadsheet context does not provide the university name for the next row (row 487).")</f>
        <v>I do not have enough information to answer the query because the spreadsheet context does not provide the university name for the next row (row 487).</v>
      </c>
      <c r="D486" t="b">
        <v>0</v>
      </c>
      <c r="E486" t="b">
        <v>0</v>
      </c>
      <c r="G486" t="b">
        <v>0</v>
      </c>
      <c r="H486" t="b">
        <v>0</v>
      </c>
    </row>
    <row r="487">
      <c r="C487" t="str">
        <f>IFERROR(__xludf.DUMMYFUNCTION("AI(""The city of the university that is in the next row"")"),"Birmingham")</f>
        <v>Birmingham</v>
      </c>
      <c r="D487" t="b">
        <v>0</v>
      </c>
      <c r="E487" t="b">
        <v>0</v>
      </c>
      <c r="G487" t="b">
        <v>0</v>
      </c>
      <c r="H487" t="b">
        <v>0</v>
      </c>
    </row>
    <row r="488">
      <c r="C488" t="str">
        <f>IFERROR(__xludf.DUMMYFUNCTION("AI(""The city of the university that is in the next row"")"),"I do not have enough information to determine the city because the university name for this row is missing from the provided data. Please ensure the university name is filled in to get the correct city.")</f>
        <v>I do not have enough information to determine the city because the university name for this row is missing from the provided data. Please ensure the university name is filled in to get the correct city.</v>
      </c>
      <c r="D488" t="b">
        <v>0</v>
      </c>
      <c r="E488" t="b">
        <v>0</v>
      </c>
      <c r="G488" t="b">
        <v>0</v>
      </c>
      <c r="H488" t="b">
        <v>0</v>
      </c>
    </row>
    <row r="489">
      <c r="C489" t="str">
        <f>IFERROR(__xludf.DUMMYFUNCTION("AI(""The city of the university that is in the next row"")"),"=AI(""The city of the university that is in the next row"")")</f>
        <v>=AI("The city of the university that is in the next row")</v>
      </c>
      <c r="D489" t="b">
        <v>0</v>
      </c>
      <c r="E489" t="b">
        <v>0</v>
      </c>
      <c r="G489" t="b">
        <v>0</v>
      </c>
      <c r="H489" t="b">
        <v>0</v>
      </c>
    </row>
    <row r="490">
      <c r="C490" t="str">
        <f>IFERROR(__xludf.DUMMYFUNCTION("AI(""The city of the university that is in the next row"")"),"Edinburgh")</f>
        <v>Edinburgh</v>
      </c>
      <c r="D490" t="b">
        <v>0</v>
      </c>
      <c r="E490" t="b">
        <v>0</v>
      </c>
      <c r="G490" t="b">
        <v>0</v>
      </c>
      <c r="H490" t="b">
        <v>0</v>
      </c>
    </row>
    <row r="491">
      <c r="C491" t="str">
        <f>IFERROR(__xludf.DUMMYFUNCTION("AI(""The city of the university that is in the next row"")"),"I do not have enough information to answer the query. I am missing the data for the next row (row 492) to determine the university name and its city.")</f>
        <v>I do not have enough information to answer the query. I am missing the data for the next row (row 492) to determine the university name and its city.</v>
      </c>
      <c r="D491" t="b">
        <v>0</v>
      </c>
      <c r="E491" t="b">
        <v>0</v>
      </c>
      <c r="G491" t="b">
        <v>0</v>
      </c>
      <c r="H491" t="b">
        <v>0</v>
      </c>
    </row>
    <row r="492">
      <c r="C492" t="str">
        <f>IFERROR(__xludf.DUMMYFUNCTION("AI(""The city of the university that is in the next row"")"),"I do not have enough information to answer the query. I am missing the university name for the next row (row 493) to determine its city.")</f>
        <v>I do not have enough information to answer the query. I am missing the university name for the next row (row 493) to determine its city.</v>
      </c>
      <c r="D492" t="b">
        <v>0</v>
      </c>
      <c r="E492" t="b">
        <v>0</v>
      </c>
      <c r="G492" t="b">
        <v>0</v>
      </c>
      <c r="H492" t="b">
        <v>0</v>
      </c>
    </row>
    <row r="493">
      <c r="C493" t="str">
        <f>IFERROR(__xludf.DUMMYFUNCTION("AI(""The city of the university that is in the next row"")"),"I do not have enough information to answer the query. I am missing the name of the university in the next row (row 494) to determine its city.")</f>
        <v>I do not have enough information to answer the query. I am missing the name of the university in the next row (row 494) to determine its city.</v>
      </c>
      <c r="D493" t="b">
        <v>0</v>
      </c>
      <c r="E493" t="b">
        <v>0</v>
      </c>
      <c r="G493" t="b">
        <v>0</v>
      </c>
      <c r="H493" t="b">
        <v>0</v>
      </c>
    </row>
    <row r="494">
      <c r="C494" t="str">
        <f>IFERROR(__xludf.DUMMYFUNCTION("AI(""The city of the university that is in the next row"")"),"I do not have enough information to answer the query. I am missing the university name for the corresponding row to determine its city.")</f>
        <v>I do not have enough information to answer the query. I am missing the university name for the corresponding row to determine its city.</v>
      </c>
      <c r="D494" t="b">
        <v>0</v>
      </c>
      <c r="E494" t="b">
        <v>0</v>
      </c>
      <c r="G494" t="b">
        <v>0</v>
      </c>
      <c r="H494" t="b">
        <v>0</v>
      </c>
    </row>
    <row r="495">
      <c r="C495" t="str">
        <f>IFERROR(__xludf.DUMMYFUNCTION("AI(""The city of the university that is in the next row"")"),"I do not have enough information to answer the query. I am missing the university name for the row to determine its city.")</f>
        <v>I do not have enough information to answer the query. I am missing the university name for the row to determine its city.</v>
      </c>
      <c r="D495" t="b">
        <v>0</v>
      </c>
      <c r="E495" t="b">
        <v>0</v>
      </c>
      <c r="G495" t="b">
        <v>0</v>
      </c>
      <c r="H495" t="b">
        <v>0</v>
      </c>
    </row>
    <row r="496">
      <c r="C496" t="str">
        <f>IFERROR(__xludf.DUMMYFUNCTION("AI(""The city of the university that is in the next row"")"),"I do not have enough information to answer the query. I am missing the data for the next row (row 497) to determine the university name and its corresponding city.")</f>
        <v>I do not have enough information to answer the query. I am missing the data for the next row (row 497) to determine the university name and its corresponding city.</v>
      </c>
      <c r="D496" t="b">
        <v>0</v>
      </c>
      <c r="E496" t="b">
        <v>0</v>
      </c>
      <c r="G496" t="b">
        <v>0</v>
      </c>
      <c r="H496" t="b">
        <v>0</v>
      </c>
    </row>
    <row r="497">
      <c r="C497" t="str">
        <f>IFERROR(__xludf.DUMMYFUNCTION("AI(""The city of the university that is in the next row"")"),"I do not have enough information to answer the query. I am missing the university name in the next row (row 498) to determine its city.")</f>
        <v>I do not have enough information to answer the query. I am missing the university name in the next row (row 498) to determine its city.</v>
      </c>
      <c r="D497" t="b">
        <v>0</v>
      </c>
      <c r="E497" t="b">
        <v>0</v>
      </c>
      <c r="G497" t="b">
        <v>0</v>
      </c>
      <c r="H497" t="b">
        <v>0</v>
      </c>
    </row>
    <row r="498">
      <c r="C498" t="str">
        <f>IFERROR(__xludf.DUMMYFUNCTION("AI(""The city of the university that is in the next row"")"),"I do not have enough information to answer the query. I am missing the university name for this row to determine its city.")</f>
        <v>I do not have enough information to answer the query. I am missing the university name for this row to determine its city.</v>
      </c>
      <c r="D498" t="b">
        <v>0</v>
      </c>
      <c r="E498" t="b">
        <v>0</v>
      </c>
      <c r="G498" t="b">
        <v>0</v>
      </c>
      <c r="H498" t="b">
        <v>0</v>
      </c>
    </row>
    <row r="499">
      <c r="C499" t="str">
        <f>IFERROR(__xludf.DUMMYFUNCTION("AI(""The city of the university that is in the next row"")"),"I do not have enough information to answer the query. I am missing the name of the university in row 499 or row 500 to determine its city.")</f>
        <v>I do not have enough information to answer the query. I am missing the name of the university in row 499 or row 500 to determine its city.</v>
      </c>
      <c r="D499" t="b">
        <v>0</v>
      </c>
      <c r="E499" t="b">
        <v>0</v>
      </c>
      <c r="G499" t="b">
        <v>0</v>
      </c>
      <c r="H499" t="b">
        <v>0</v>
      </c>
    </row>
    <row r="500">
      <c r="C500" t="str">
        <f>IFERROR(__xludf.DUMMYFUNCTION("AI(""The city of the university that is in the next row"")"),"I do not have enough information to answer the query. I am missing the university name in the next row (row 501) to determine its city.")</f>
        <v>I do not have enough information to answer the query. I am missing the university name in the next row (row 501) to determine its city.</v>
      </c>
      <c r="D500" t="b">
        <v>0</v>
      </c>
      <c r="E500" t="b">
        <v>0</v>
      </c>
      <c r="G500" t="b">
        <v>0</v>
      </c>
      <c r="H500" t="b">
        <v>0</v>
      </c>
    </row>
    <row r="501">
      <c r="C501" t="str">
        <f>IFERROR(__xludf.DUMMYFUNCTION("AI(""The city of the university that is in the next row"")"),"I do not have enough information to answer the query. I am missing the data for the university name in the next row (row 502) to determine its city.")</f>
        <v>I do not have enough information to answer the query. I am missing the data for the university name in the next row (row 502) to determine its city.</v>
      </c>
      <c r="D501" t="b">
        <v>0</v>
      </c>
      <c r="E501" t="b">
        <v>0</v>
      </c>
      <c r="G501" t="b">
        <v>0</v>
      </c>
      <c r="H501" t="b">
        <v>0</v>
      </c>
    </row>
    <row r="502">
      <c r="C502" t="str">
        <f>IFERROR(__xludf.DUMMYFUNCTION("AI(""The city of the university that is in the next row"")"),"I do not have enough information to answer the query. I am missing the data for the next row (row 503) to identify the university and determine its city.")</f>
        <v>I do not have enough information to answer the query. I am missing the data for the next row (row 503) to identify the university and determine its city.</v>
      </c>
      <c r="D502" t="b">
        <v>0</v>
      </c>
      <c r="E502" t="b">
        <v>0</v>
      </c>
      <c r="G502" t="b">
        <v>0</v>
      </c>
      <c r="H502" t="b">
        <v>0</v>
      </c>
    </row>
    <row r="503">
      <c r="C503" t="str">
        <f>IFERROR(__xludf.DUMMYFUNCTION("AI(""The city of the university that is in the next row"")"),"I do not have enough information to answer the query. The spreadsheet context does not provide the university name for row 503 or subsequent rows needed to determine the city.")</f>
        <v>I do not have enough information to answer the query. The spreadsheet context does not provide the university name for row 503 or subsequent rows needed to determine the city.</v>
      </c>
      <c r="D503" t="b">
        <v>0</v>
      </c>
      <c r="E503" t="b">
        <v>0</v>
      </c>
      <c r="G503" t="b">
        <v>0</v>
      </c>
      <c r="H503" t="b">
        <v>0</v>
      </c>
    </row>
    <row r="504">
      <c r="C504" t="str">
        <f>IFERROR(__xludf.DUMMYFUNCTION("AI(""The city of the university that is in the next row"")"),"I do not have enough information to determine the city because the university name for this row is missing from the provided context.")</f>
        <v>I do not have enough information to determine the city because the university name for this row is missing from the provided context.</v>
      </c>
      <c r="D504" t="b">
        <v>0</v>
      </c>
      <c r="E504" t="b">
        <v>0</v>
      </c>
      <c r="G504" t="b">
        <v>0</v>
      </c>
      <c r="H504" t="b">
        <v>0</v>
      </c>
    </row>
    <row r="505">
      <c r="C505" t="str">
        <f>IFERROR(__xludf.DUMMYFUNCTION("AI(""The city of the university that is in the next row"")"),"I do not have enough information to answer the query. I am missing the university name in the next row (row 506) to determine its city.")</f>
        <v>I do not have enough information to answer the query. I am missing the university name in the next row (row 506) to determine its city.</v>
      </c>
      <c r="D505" t="b">
        <v>0</v>
      </c>
      <c r="E505" t="b">
        <v>0</v>
      </c>
      <c r="G505" t="b">
        <v>0</v>
      </c>
      <c r="H505" t="b">
        <v>0</v>
      </c>
    </row>
    <row r="506">
      <c r="C506" t="str">
        <f>IFERROR(__xludf.DUMMYFUNCTION("AI(""The city of the university that is in the next row"")"),"I do not have enough information to answer the query. I am missing the name of the university in the next row (row 507) to determine its city.")</f>
        <v>I do not have enough information to answer the query. I am missing the name of the university in the next row (row 507) to determine its city.</v>
      </c>
      <c r="D506" t="b">
        <v>0</v>
      </c>
      <c r="E506" t="b">
        <v>0</v>
      </c>
      <c r="G506" t="b">
        <v>0</v>
      </c>
      <c r="H506" t="b">
        <v>0</v>
      </c>
    </row>
    <row r="507">
      <c r="C507" t="str">
        <f>IFERROR(__xludf.DUMMYFUNCTION("AI(""The city of the university that is in the next row"")"),"I do not have enough information to answer the query. I am missing the name of the university in the row to determine its city.")</f>
        <v>I do not have enough information to answer the query. I am missing the name of the university in the row to determine its city.</v>
      </c>
      <c r="D507" t="b">
        <v>0</v>
      </c>
      <c r="E507" t="b">
        <v>0</v>
      </c>
      <c r="G507" t="b">
        <v>0</v>
      </c>
      <c r="H507" t="b">
        <v>0</v>
      </c>
    </row>
    <row r="508">
      <c r="C508" t="str">
        <f>IFERROR(__xludf.DUMMYFUNCTION("AI(""The city of the university that is in the next row"")"),"I do not have enough information to answer the query. I am missing the university name in the next row (row 509) to determine its city.")</f>
        <v>I do not have enough information to answer the query. I am missing the university name in the next row (row 509) to determine its city.</v>
      </c>
      <c r="D508" t="b">
        <v>0</v>
      </c>
      <c r="E508" t="b">
        <v>0</v>
      </c>
      <c r="G508" t="b">
        <v>0</v>
      </c>
      <c r="H508" t="b">
        <v>0</v>
      </c>
    </row>
    <row r="509">
      <c r="C509" t="str">
        <f>IFERROR(__xludf.DUMMYFUNCTION("AI(""The city of the university that is in the next row"")"),"I do not have enough information to answer the query. I am missing the university name in the row to determine its city.")</f>
        <v>I do not have enough information to answer the query. I am missing the university name in the row to determine its city.</v>
      </c>
      <c r="D509" t="b">
        <v>0</v>
      </c>
      <c r="E509" t="b">
        <v>0</v>
      </c>
      <c r="G509" t="b">
        <v>0</v>
      </c>
      <c r="H509" t="b">
        <v>0</v>
      </c>
    </row>
    <row r="510">
      <c r="C510" t="str">
        <f>IFERROR(__xludf.DUMMYFUNCTION("AI(""The city of the university that is in the next row"")"),"=AI(""The city of the university that is in the next row"")")</f>
        <v>=AI("The city of the university that is in the next row")</v>
      </c>
      <c r="D510" t="b">
        <v>0</v>
      </c>
      <c r="E510" t="b">
        <v>0</v>
      </c>
      <c r="G510" t="b">
        <v>0</v>
      </c>
      <c r="H510" t="b">
        <v>0</v>
      </c>
    </row>
    <row r="511">
      <c r="C511" t="str">
        <f>IFERROR(__xludf.DUMMYFUNCTION("AI(""The city of the university that is in the next row"")"),"I do not have enough information to determine the city because the university name for the corresponding row is missing from the provided data. Please include the university name to get the correct city.")</f>
        <v>I do not have enough information to determine the city because the university name for the corresponding row is missing from the provided data. Please include the university name to get the correct city.</v>
      </c>
      <c r="D511" t="b">
        <v>0</v>
      </c>
      <c r="E511" t="b">
        <v>0</v>
      </c>
      <c r="G511" t="b">
        <v>0</v>
      </c>
      <c r="H511" t="b">
        <v>0</v>
      </c>
    </row>
    <row r="512">
      <c r="C512" t="str">
        <f>IFERROR(__xludf.DUMMYFUNCTION("AI(""The city of the university that is in the next row"")"),"I do not have enough information to answer the query. I am missing the university name in the next row (row 513) to determine its city.")</f>
        <v>I do not have enough information to answer the query. I am missing the university name in the next row (row 513) to determine its city.</v>
      </c>
      <c r="D512" t="b">
        <v>0</v>
      </c>
      <c r="E512" t="b">
        <v>0</v>
      </c>
      <c r="G512" t="b">
        <v>0</v>
      </c>
      <c r="H512" t="b">
        <v>0</v>
      </c>
    </row>
    <row r="513">
      <c r="C513" t="str">
        <f>IFERROR(__xludf.DUMMYFUNCTION("AI(""The city of the university that is in the next row"")"),"I do not have enough information to answer the query. I am missing the university name for the next row (row 514) to determine its city.")</f>
        <v>I do not have enough information to answer the query. I am missing the university name for the next row (row 514) to determine its city.</v>
      </c>
      <c r="D513" t="b">
        <v>0</v>
      </c>
      <c r="E513" t="b">
        <v>0</v>
      </c>
      <c r="G513" t="b">
        <v>0</v>
      </c>
      <c r="H513" t="b">
        <v>0</v>
      </c>
    </row>
    <row r="514">
      <c r="C514" t="str">
        <f>IFERROR(__xludf.DUMMYFUNCTION("AI(""The city of the university that is in the next row"")"),"=AI(""The city of the university that is in the next row"")")</f>
        <v>=AI("The city of the university that is in the next row")</v>
      </c>
      <c r="D514" t="b">
        <v>0</v>
      </c>
      <c r="E514" t="b">
        <v>0</v>
      </c>
      <c r="G514" t="b">
        <v>0</v>
      </c>
      <c r="H514" t="b">
        <v>0</v>
      </c>
    </row>
    <row r="515">
      <c r="C515" t="str">
        <f>IFERROR(__xludf.DUMMYFUNCTION("AI(""The city of the university that is in the next row"")"),"I do not have enough information to answer the query because the spreadsheet context provided does not include the university name or data for the next row (row 516). Please provide the university name to find its city.")</f>
        <v>I do not have enough information to answer the query because the spreadsheet context provided does not include the university name or data for the next row (row 516). Please provide the university name to find its city.</v>
      </c>
      <c r="D515" t="b">
        <v>0</v>
      </c>
      <c r="E515" t="b">
        <v>0</v>
      </c>
      <c r="G515" t="b">
        <v>0</v>
      </c>
      <c r="H515" t="b">
        <v>0</v>
      </c>
    </row>
    <row r="516">
      <c r="C516" t="str">
        <f>IFERROR(__xludf.DUMMYFUNCTION("AI(""The city of the university that is in the next row"")"),"I do not have enough information to answer the query. I am missing the data for row 517, specifically the university name, which is required to determine its city.")</f>
        <v>I do not have enough information to answer the query. I am missing the data for row 517, specifically the university name, which is required to determine its city.</v>
      </c>
      <c r="D516" t="b">
        <v>0</v>
      </c>
      <c r="E516" t="b">
        <v>0</v>
      </c>
      <c r="G516" t="b">
        <v>0</v>
      </c>
      <c r="H516" t="b">
        <v>0</v>
      </c>
    </row>
    <row r="517">
      <c r="C517" t="str">
        <f>IFERROR(__xludf.DUMMYFUNCTION("AI(""The city of the university that is in the next row"")"),"=AI(""The city of the university that is in the next row"")")</f>
        <v>=AI("The city of the university that is in the next row")</v>
      </c>
      <c r="D517" t="b">
        <v>0</v>
      </c>
      <c r="E517" t="b">
        <v>0</v>
      </c>
      <c r="G517" t="b">
        <v>0</v>
      </c>
      <c r="H517" t="b">
        <v>0</v>
      </c>
    </row>
    <row r="518">
      <c r="C518" t="str">
        <f>IFERROR(__xludf.DUMMYFUNCTION("AI(""The city of the university that is in the next row"")"),"=AI(""The city of the university that is in the next row"")")</f>
        <v>=AI("The city of the university that is in the next row")</v>
      </c>
      <c r="D518" t="b">
        <v>0</v>
      </c>
      <c r="E518" t="b">
        <v>0</v>
      </c>
      <c r="G518" t="b">
        <v>0</v>
      </c>
      <c r="H518" t="b">
        <v>0</v>
      </c>
    </row>
    <row r="519">
      <c r="C519" t="str">
        <f>IFERROR(__xludf.DUMMYFUNCTION("AI(""The city of the university that is in the next row"")"),"I do not have enough information to answer the query because the university name in the next row (row 520) is not visible in the provided spreadsheet context.")</f>
        <v>I do not have enough information to answer the query because the university name in the next row (row 520) is not visible in the provided spreadsheet context.</v>
      </c>
      <c r="D519" t="b">
        <v>0</v>
      </c>
      <c r="E519" t="b">
        <v>0</v>
      </c>
      <c r="G519" t="b">
        <v>0</v>
      </c>
      <c r="H519" t="b">
        <v>0</v>
      </c>
    </row>
    <row r="520">
      <c r="C520" t="str">
        <f>IFERROR(__xludf.DUMMYFUNCTION("AI(""The city of the university that is in the next row"")"),"I do not have enough information to answer the query. I am missing the university name in the next row (row 521) to determine its city.")</f>
        <v>I do not have enough information to answer the query. I am missing the university name in the next row (row 521) to determine its city.</v>
      </c>
      <c r="D520" t="b">
        <v>0</v>
      </c>
      <c r="E520" t="b">
        <v>0</v>
      </c>
      <c r="G520" t="b">
        <v>0</v>
      </c>
      <c r="H520" t="b">
        <v>0</v>
      </c>
    </row>
    <row r="521">
      <c r="C521" t="str">
        <f>IFERROR(__xludf.DUMMYFUNCTION("AI(""The city of the university that is in the next row"")"),"=AI(""The city of the university that is in the next row"")")</f>
        <v>=AI("The city of the university that is in the next row")</v>
      </c>
      <c r="D521" t="b">
        <v>0</v>
      </c>
      <c r="E521" t="b">
        <v>0</v>
      </c>
      <c r="G521" t="b">
        <v>0</v>
      </c>
      <c r="H521" t="b">
        <v>0</v>
      </c>
    </row>
    <row r="522">
      <c r="C522" t="str">
        <f>IFERROR(__xludf.DUMMYFUNCTION("AI(""The city of the university that is in the next row"")"),"I do not have enough information to answer this query. The university name in column B for this row (or the next row) is missing from the provided context.")</f>
        <v>I do not have enough information to answer this query. The university name in column B for this row (or the next row) is missing from the provided context.</v>
      </c>
      <c r="D522" t="b">
        <v>0</v>
      </c>
      <c r="E522" t="b">
        <v>0</v>
      </c>
      <c r="G522" t="b">
        <v>0</v>
      </c>
      <c r="H522" t="b">
        <v>0</v>
      </c>
    </row>
    <row r="523">
      <c r="C523" t="str">
        <f>IFERROR(__xludf.DUMMYFUNCTION("AI(""The city of the university that is in the next row"")"),"I do not have enough information to answer the query. I am missing the university name for this row or the next row to determine its city.")</f>
        <v>I do not have enough information to answer the query. I am missing the university name for this row or the next row to determine its city.</v>
      </c>
      <c r="D523" t="b">
        <v>0</v>
      </c>
      <c r="E523" t="b">
        <v>0</v>
      </c>
      <c r="G523" t="b">
        <v>0</v>
      </c>
      <c r="H523" t="b">
        <v>0</v>
      </c>
    </row>
    <row r="524">
      <c r="C524" t="str">
        <f>IFERROR(__xludf.DUMMYFUNCTION("AI(""The city of the university that is in the next row"")"),"I do not have enough information to answer the query. I am missing the university name for this row to determine its city.")</f>
        <v>I do not have enough information to answer the query. I am missing the university name for this row to determine its city.</v>
      </c>
      <c r="D524" t="b">
        <v>0</v>
      </c>
      <c r="E524" t="b">
        <v>0</v>
      </c>
      <c r="G524" t="b">
        <v>0</v>
      </c>
      <c r="H524" t="b">
        <v>0</v>
      </c>
    </row>
    <row r="525">
      <c r="C525" t="str">
        <f>IFERROR(__xludf.DUMMYFUNCTION("AI(""The city of the university that is in the next row"")"),"I do not have enough information to answer the query. I am missing the data for the next row (row 526) to see which university is listed there.")</f>
        <v>I do not have enough information to answer the query. I am missing the data for the next row (row 526) to see which university is listed there.</v>
      </c>
      <c r="D525" t="b">
        <v>0</v>
      </c>
      <c r="E525" t="b">
        <v>0</v>
      </c>
      <c r="G525" t="b">
        <v>0</v>
      </c>
      <c r="H525" t="b">
        <v>0</v>
      </c>
    </row>
    <row r="526">
      <c r="C526" t="str">
        <f>IFERROR(__xludf.DUMMYFUNCTION("AI(""The city of the university that is in the next row"")"),"I do not have enough information to answer the query. I am missing the university name for this row to determine its city.")</f>
        <v>I do not have enough information to answer the query. I am missing the university name for this row to determine its city.</v>
      </c>
      <c r="D526" t="b">
        <v>0</v>
      </c>
      <c r="E526" t="b">
        <v>0</v>
      </c>
      <c r="G526" t="b">
        <v>0</v>
      </c>
      <c r="H526" t="b">
        <v>0</v>
      </c>
    </row>
    <row r="527">
      <c r="C527" t="str">
        <f>IFERROR(__xludf.DUMMYFUNCTION("AI(""The city of the university that is in the next row"")"),"I do not have enough information to answer the query. I am missing the university name in the next row (row 528) to determine its city.")</f>
        <v>I do not have enough information to answer the query. I am missing the university name in the next row (row 528) to determine its city.</v>
      </c>
      <c r="D527" t="b">
        <v>0</v>
      </c>
      <c r="E527" t="b">
        <v>0</v>
      </c>
      <c r="G527" t="b">
        <v>0</v>
      </c>
      <c r="H527" t="b">
        <v>0</v>
      </c>
    </row>
    <row r="528">
      <c r="C528" t="str">
        <f>IFERROR(__xludf.DUMMYFUNCTION("AI(""The city of the university that is in the next row"")"),"I do not have enough information to determine the city because the university name in the next row (row 529) is missing from the provided data.")</f>
        <v>I do not have enough information to determine the city because the university name in the next row (row 529) is missing from the provided data.</v>
      </c>
      <c r="D528" t="b">
        <v>0</v>
      </c>
      <c r="E528" t="b">
        <v>0</v>
      </c>
      <c r="G528" t="b">
        <v>0</v>
      </c>
      <c r="H528" t="b">
        <v>0</v>
      </c>
    </row>
    <row r="529">
      <c r="C529" t="str">
        <f>IFERROR(__xludf.DUMMYFUNCTION("AI(""The city of the university that is in the next row"")"),"I do not have enough information to answer the query. I am missing the data for the university name in the next row (row 530) to determine its city.")</f>
        <v>I do not have enough information to answer the query. I am missing the data for the university name in the next row (row 530) to determine its city.</v>
      </c>
      <c r="D529" t="b">
        <v>0</v>
      </c>
      <c r="E529" t="b">
        <v>0</v>
      </c>
      <c r="G529" t="b">
        <v>0</v>
      </c>
      <c r="H529" t="b">
        <v>0</v>
      </c>
    </row>
    <row r="530">
      <c r="C530" t="str">
        <f>IFERROR(__xludf.DUMMYFUNCTION("AI(""The city of the university that is in the next row"")"),"=AI(""The city of the university that is in the next row"")")</f>
        <v>=AI("The city of the university that is in the next row")</v>
      </c>
      <c r="D530" t="b">
        <v>0</v>
      </c>
      <c r="E530" t="b">
        <v>0</v>
      </c>
      <c r="G530" t="b">
        <v>0</v>
      </c>
      <c r="H530" t="b">
        <v>0</v>
      </c>
    </row>
    <row r="531">
      <c r="C531" t="str">
        <f>IFERROR(__xludf.DUMMYFUNCTION("AI(""The city of the university that is in the next row"")"),"I do not have enough information to provide the city because the university name in the next row (row 532) is not visible in the provided spreadsheet context. Please include the row containing the university name to get the correct city.")</f>
        <v>I do not have enough information to provide the city because the university name in the next row (row 532) is not visible in the provided spreadsheet context. Please include the row containing the university name to get the correct city.</v>
      </c>
      <c r="D531" t="b">
        <v>0</v>
      </c>
      <c r="E531" t="b">
        <v>0</v>
      </c>
      <c r="G531" t="b">
        <v>0</v>
      </c>
      <c r="H531" t="b">
        <v>0</v>
      </c>
    </row>
    <row r="532">
      <c r="C532" t="str">
        <f>IFERROR(__xludf.DUMMYFUNCTION("AI(""The city of the university that is in the next row"")"),"I do not have enough information to answer the query. I am missing the data for the university name in the next row (row 533) to determine its city.")</f>
        <v>I do not have enough information to answer the query. I am missing the data for the university name in the next row (row 533) to determine its city.</v>
      </c>
      <c r="D532" t="b">
        <v>0</v>
      </c>
      <c r="E532" t="b">
        <v>0</v>
      </c>
      <c r="G532" t="b">
        <v>0</v>
      </c>
      <c r="H532" t="b">
        <v>0</v>
      </c>
    </row>
    <row r="533">
      <c r="C533" t="str">
        <f>IFERROR(__xludf.DUMMYFUNCTION("AI(""The city of the university that is in the next row"")"),"I do not have enough information to answer the query. I am missing the university name in the next row (row 534) to determine its city.")</f>
        <v>I do not have enough information to answer the query. I am missing the university name in the next row (row 534) to determine its city.</v>
      </c>
      <c r="D533" t="b">
        <v>0</v>
      </c>
      <c r="E533" t="b">
        <v>0</v>
      </c>
      <c r="G533" t="b">
        <v>0</v>
      </c>
      <c r="H533" t="b">
        <v>0</v>
      </c>
    </row>
    <row r="534">
      <c r="C534" t="str">
        <f>IFERROR(__xludf.DUMMYFUNCTION("AI(""The city of the university that is in the next row"")"),"I do not have enough information to answer the query. I am missing the university name in the next row (row 535) to determine its city.")</f>
        <v>I do not have enough information to answer the query. I am missing the university name in the next row (row 535) to determine its city.</v>
      </c>
      <c r="D534" t="b">
        <v>0</v>
      </c>
      <c r="E534" t="b">
        <v>0</v>
      </c>
      <c r="G534" t="b">
        <v>0</v>
      </c>
      <c r="H534" t="b">
        <v>0</v>
      </c>
    </row>
    <row r="535">
      <c r="C535" t="str">
        <f>IFERROR(__xludf.DUMMYFUNCTION("AI(""The city of the university that is in the next row"")"),"I do not have enough information to answer the query. I am missing the university name for the row to determine its corresponding city.")</f>
        <v>I do not have enough information to answer the query. I am missing the university name for the row to determine its corresponding city.</v>
      </c>
      <c r="D535" t="b">
        <v>0</v>
      </c>
      <c r="E535" t="b">
        <v>0</v>
      </c>
      <c r="G535" t="b">
        <v>0</v>
      </c>
      <c r="H535" t="b">
        <v>0</v>
      </c>
    </row>
    <row r="536">
      <c r="C536" t="str">
        <f>IFERROR(__xludf.DUMMYFUNCTION("AI(""The city of the university that is in the next row"")"),"I do not have enough information to answer the query. I am missing the data for the next row (row 537), specifically the university name, to determine its city.")</f>
        <v>I do not have enough information to answer the query. I am missing the data for the next row (row 537), specifically the university name, to determine its city.</v>
      </c>
      <c r="D536" t="b">
        <v>0</v>
      </c>
      <c r="E536" t="b">
        <v>0</v>
      </c>
      <c r="G536" t="b">
        <v>0</v>
      </c>
      <c r="H536" t="b">
        <v>0</v>
      </c>
    </row>
    <row r="537">
      <c r="C537" t="str">
        <f>IFERROR(__xludf.DUMMYFUNCTION("AI(""The city of the university that is in the next row"")"),"=AI(""The city of the university that is in the next row"")")</f>
        <v>=AI("The city of the university that is in the next row")</v>
      </c>
      <c r="D537" t="b">
        <v>0</v>
      </c>
      <c r="E537" t="b">
        <v>0</v>
      </c>
      <c r="G537" t="b">
        <v>0</v>
      </c>
      <c r="H537" t="b">
        <v>0</v>
      </c>
    </row>
    <row r="538">
      <c r="C538" t="str">
        <f>IFERROR(__xludf.DUMMYFUNCTION("AI(""The city of the university that is in the next row"")"),"=AI(""The city of the university that is in the next row"")")</f>
        <v>=AI("The city of the university that is in the next row")</v>
      </c>
      <c r="D538" t="b">
        <v>0</v>
      </c>
      <c r="E538" t="b">
        <v>0</v>
      </c>
      <c r="G538" t="b">
        <v>0</v>
      </c>
      <c r="H538" t="b">
        <v>0</v>
      </c>
    </row>
    <row r="539">
      <c r="C539" t="str">
        <f>IFERROR(__xludf.DUMMYFUNCTION("AI(""The city of the university that is in the next row"")"),"Manchester")</f>
        <v>Manchester</v>
      </c>
      <c r="D539" t="b">
        <v>0</v>
      </c>
      <c r="E539" t="b">
        <v>0</v>
      </c>
      <c r="G539" t="b">
        <v>0</v>
      </c>
      <c r="H539" t="b">
        <v>0</v>
      </c>
    </row>
    <row r="540">
      <c r="C540" t="str">
        <f>IFERROR(__xludf.DUMMYFUNCTION("AI(""The city of the university that is in the next row"")"),"I do not have enough information to answer the query. I am missing the data for the university in row 541 to determine its city.")</f>
        <v>I do not have enough information to answer the query. I am missing the data for the university in row 541 to determine its city.</v>
      </c>
      <c r="D540" t="b">
        <v>0</v>
      </c>
      <c r="E540" t="b">
        <v>0</v>
      </c>
      <c r="G540" t="b">
        <v>0</v>
      </c>
      <c r="H540" t="b">
        <v>0</v>
      </c>
    </row>
    <row r="541">
      <c r="C541" t="str">
        <f>IFERROR(__xludf.DUMMYFUNCTION("AI(""The city of the university that is in the next row"")"),"I do not have enough information to answer the query. I am missing the data for row 542 (specifically the UKUniversityName) to determine the city of the university in the next row.")</f>
        <v>I do not have enough information to answer the query. I am missing the data for row 542 (specifically the UKUniversityName) to determine the city of the university in the next row.</v>
      </c>
      <c r="D541" t="b">
        <v>0</v>
      </c>
      <c r="E541" t="b">
        <v>0</v>
      </c>
      <c r="G541" t="b">
        <v>0</v>
      </c>
      <c r="H541" t="b">
        <v>0</v>
      </c>
    </row>
    <row r="542">
      <c r="C542" t="str">
        <f>IFERROR(__xludf.DUMMYFUNCTION("AI(""The city of the university that is in the next row"")"),"I do not have enough information to determine the city because the university name for the next row (row 543) is not visible in the provided spreadsheet context.")</f>
        <v>I do not have enough information to determine the city because the university name for the next row (row 543) is not visible in the provided spreadsheet context.</v>
      </c>
      <c r="D542" t="b">
        <v>0</v>
      </c>
      <c r="E542" t="b">
        <v>0</v>
      </c>
      <c r="G542" t="b">
        <v>0</v>
      </c>
      <c r="H542" t="b">
        <v>0</v>
      </c>
    </row>
    <row r="543">
      <c r="C543" t="str">
        <f>IFERROR(__xludf.DUMMYFUNCTION("AI(""The city of the university that is in the next row"")"),"I do not have enough information to answer the query. I am missing the university name in row 544 to determine its city.")</f>
        <v>I do not have enough information to answer the query. I am missing the university name in row 544 to determine its city.</v>
      </c>
      <c r="D543" t="b">
        <v>0</v>
      </c>
      <c r="E543" t="b">
        <v>0</v>
      </c>
      <c r="G543" t="b">
        <v>0</v>
      </c>
      <c r="H543" t="b">
        <v>0</v>
      </c>
    </row>
    <row r="544">
      <c r="C544" t="str">
        <f>IFERROR(__xludf.DUMMYFUNCTION("AI(""The city of the university that is in the next row"")"),"I do not have enough information to determine the city because the university name for this row is missing from the provided context.")</f>
        <v>I do not have enough information to determine the city because the university name for this row is missing from the provided context.</v>
      </c>
      <c r="D544" t="b">
        <v>0</v>
      </c>
      <c r="E544" t="b">
        <v>0</v>
      </c>
      <c r="G544" t="b">
        <v>0</v>
      </c>
      <c r="H544" t="b">
        <v>0</v>
      </c>
    </row>
    <row r="545">
      <c r="C545" t="str">
        <f>IFERROR(__xludf.DUMMYFUNCTION("AI(""The city of the university that is in the next row"")"),"I do not have enough information to answer the query. I am missing the university name for row 546 to determine its city.")</f>
        <v>I do not have enough information to answer the query. I am missing the university name for row 546 to determine its city.</v>
      </c>
      <c r="D545" t="b">
        <v>0</v>
      </c>
      <c r="E545" t="b">
        <v>0</v>
      </c>
      <c r="G545" t="b">
        <v>0</v>
      </c>
      <c r="H545" t="b">
        <v>0</v>
      </c>
    </row>
    <row r="546">
      <c r="C546" t="str">
        <f>IFERROR(__xludf.DUMMYFUNCTION("AI(""The city of the university that is in the next row"")"),"I do not have enough information to answer this query because the university name in the next row is missing from the provided context.")</f>
        <v>I do not have enough information to answer this query because the university name in the next row is missing from the provided context.</v>
      </c>
      <c r="D546" t="b">
        <v>0</v>
      </c>
      <c r="E546" t="b">
        <v>0</v>
      </c>
      <c r="G546" t="b">
        <v>0</v>
      </c>
      <c r="H546" t="b">
        <v>0</v>
      </c>
    </row>
    <row r="547">
      <c r="C547" t="str">
        <f>IFERROR(__xludf.DUMMYFUNCTION("AI(""The city of the university that is in the next row"")"),"I do not have enough information to answer the query. I am missing the data from the next row (row 548), specifically the university name, to determine its city.")</f>
        <v>I do not have enough information to answer the query. I am missing the data from the next row (row 548), specifically the university name, to determine its city.</v>
      </c>
      <c r="D547" t="b">
        <v>0</v>
      </c>
      <c r="E547" t="b">
        <v>0</v>
      </c>
      <c r="G547" t="b">
        <v>0</v>
      </c>
      <c r="H547" t="b">
        <v>0</v>
      </c>
    </row>
    <row r="548">
      <c r="C548" t="str">
        <f>IFERROR(__xludf.DUMMYFUNCTION("AI(""The city of the university that is in the next row"")"),"I do not have enough information to answer this query because the data for the next row (row 549) is missing from the provided context.")</f>
        <v>I do not have enough information to answer this query because the data for the next row (row 549) is missing from the provided context.</v>
      </c>
      <c r="D548" t="b">
        <v>0</v>
      </c>
      <c r="E548" t="b">
        <v>0</v>
      </c>
      <c r="G548" t="b">
        <v>0</v>
      </c>
      <c r="H548" t="b">
        <v>0</v>
      </c>
    </row>
    <row r="549">
      <c r="C549" t="str">
        <f>IFERROR(__xludf.DUMMYFUNCTION("AI(""The city of the university that is in the next row"")"),"I do not have enough information to determine the city because the university name in the next row is not provided in the spreadsheet context. Please include the university name to get the correct city.")</f>
        <v>I do not have enough information to determine the city because the university name in the next row is not provided in the spreadsheet context. Please include the university name to get the correct city.</v>
      </c>
      <c r="D549" t="b">
        <v>0</v>
      </c>
      <c r="E549" t="b">
        <v>0</v>
      </c>
      <c r="G549" t="b">
        <v>0</v>
      </c>
      <c r="H549" t="b">
        <v>0</v>
      </c>
    </row>
    <row r="550">
      <c r="C550" t="str">
        <f>IFERROR(__xludf.DUMMYFUNCTION("AI(""The city of the university that is in the next row"")"),"I do not have enough information to answer the query. I am missing the university name for this row (column B) to determine its city.")</f>
        <v>I do not have enough information to answer the query. I am missing the university name for this row (column B) to determine its city.</v>
      </c>
      <c r="D550" t="b">
        <v>0</v>
      </c>
      <c r="E550" t="b">
        <v>0</v>
      </c>
      <c r="G550" t="b">
        <v>0</v>
      </c>
      <c r="H550" t="b">
        <v>0</v>
      </c>
    </row>
    <row r="551">
      <c r="C551" t="str">
        <f>IFERROR(__xludf.DUMMYFUNCTION("AI(""The city of the university that is in the next row"")"),"I do not have enough information to answer the query. I am missing the university name in row 552 to determine its city.")</f>
        <v>I do not have enough information to answer the query. I am missing the university name in row 552 to determine its city.</v>
      </c>
      <c r="D551" t="b">
        <v>0</v>
      </c>
      <c r="E551" t="b">
        <v>0</v>
      </c>
      <c r="G551" t="b">
        <v>0</v>
      </c>
      <c r="H551" t="b">
        <v>0</v>
      </c>
    </row>
    <row r="552">
      <c r="C552" t="str">
        <f>IFERROR(__xludf.DUMMYFUNCTION("AI(""The city of the university that is in the next row"")"),"I do not have enough information to answer the query, as the university name for the next row (row 553) is missing from the provided spreadsheet context.")</f>
        <v>I do not have enough information to answer the query, as the university name for the next row (row 553) is missing from the provided spreadsheet context.</v>
      </c>
      <c r="D552" t="b">
        <v>0</v>
      </c>
      <c r="E552" t="b">
        <v>0</v>
      </c>
      <c r="G552" t="b">
        <v>0</v>
      </c>
      <c r="H552" t="b">
        <v>0</v>
      </c>
    </row>
    <row r="553">
      <c r="C553" t="str">
        <f>IFERROR(__xludf.DUMMYFUNCTION("AI(""The city of the university that is in the next row"")"),"I do not have enough information to answer the query. I am missing the university name for this row to determine its city.")</f>
        <v>I do not have enough information to answer the query. I am missing the university name for this row to determine its city.</v>
      </c>
      <c r="D553" t="b">
        <v>0</v>
      </c>
      <c r="E553" t="b">
        <v>0</v>
      </c>
      <c r="G553" t="b">
        <v>0</v>
      </c>
      <c r="H553" t="b">
        <v>0</v>
      </c>
    </row>
    <row r="554">
      <c r="C554" t="str">
        <f>IFERROR(__xludf.DUMMYFUNCTION("AI(""The city of the university that is in the next row"")"),"Oxford")</f>
        <v>Oxford</v>
      </c>
      <c r="D554" t="b">
        <v>0</v>
      </c>
      <c r="E554" t="b">
        <v>0</v>
      </c>
      <c r="G554" t="b">
        <v>0</v>
      </c>
      <c r="H554" t="b">
        <v>0</v>
      </c>
    </row>
    <row r="555">
      <c r="C555" t="str">
        <f>IFERROR(__xludf.DUMMYFUNCTION("AI(""The city of the university that is in the next row"")"),"I do not have enough information to provide the city because the university name for this row is missing from the provided context. Please include the university name to find its city.")</f>
        <v>I do not have enough information to provide the city because the university name for this row is missing from the provided context. Please include the university name to find its city.</v>
      </c>
      <c r="D555" t="b">
        <v>0</v>
      </c>
      <c r="E555" t="b">
        <v>0</v>
      </c>
      <c r="G555" t="b">
        <v>0</v>
      </c>
      <c r="H555" t="b">
        <v>0</v>
      </c>
    </row>
    <row r="556">
      <c r="C556" t="str">
        <f>IFERROR(__xludf.DUMMYFUNCTION("AI(""The city of the university that is in the next row"")"),"I do not have enough information to answer the query. I am missing the university name in the rows following row 556 to determine its city.")</f>
        <v>I do not have enough information to answer the query. I am missing the university name in the rows following row 556 to determine its city.</v>
      </c>
      <c r="D556" t="b">
        <v>0</v>
      </c>
      <c r="E556" t="b">
        <v>0</v>
      </c>
      <c r="G556" t="b">
        <v>0</v>
      </c>
      <c r="H556" t="b">
        <v>0</v>
      </c>
    </row>
    <row r="557">
      <c r="C557" t="str">
        <f>IFERROR(__xludf.DUMMYFUNCTION("AI(""The city of the university that is in the next row"")"),"=AI(""The city of the university that is in the next row"")")</f>
        <v>=AI("The city of the university that is in the next row")</v>
      </c>
      <c r="D557" t="b">
        <v>0</v>
      </c>
      <c r="E557" t="b">
        <v>0</v>
      </c>
      <c r="G557" t="b">
        <v>0</v>
      </c>
      <c r="H557" t="b">
        <v>0</v>
      </c>
    </row>
    <row r="558">
      <c r="C558" t="str">
        <f>IFERROR(__xludf.DUMMYFUNCTION("AI(""The city of the university that is in the next row"")"),"I do not have enough information to answer the query. I am missing the university name in the next row (row 559) to determine its city.")</f>
        <v>I do not have enough information to answer the query. I am missing the university name in the next row (row 559) to determine its city.</v>
      </c>
      <c r="D558" t="b">
        <v>0</v>
      </c>
      <c r="E558" t="b">
        <v>0</v>
      </c>
      <c r="G558" t="b">
        <v>0</v>
      </c>
      <c r="H558" t="b">
        <v>0</v>
      </c>
    </row>
    <row r="559">
      <c r="C559" t="str">
        <f>IFERROR(__xludf.DUMMYFUNCTION("AI(""The city of the university that is in the next row"")"),"I do not have enough information to determine the city because the university name in the next row (row 560) is not visible in the provided context. Please include the university name for row 560.")</f>
        <v>I do not have enough information to determine the city because the university name in the next row (row 560) is not visible in the provided context. Please include the university name for row 560.</v>
      </c>
      <c r="D559" t="b">
        <v>0</v>
      </c>
      <c r="E559" t="b">
        <v>0</v>
      </c>
      <c r="G559" t="b">
        <v>0</v>
      </c>
      <c r="H559" t="b">
        <v>0</v>
      </c>
    </row>
    <row r="560">
      <c r="C560" t="str">
        <f>IFERROR(__xludf.DUMMYFUNCTION("AI(""The city of the university that is in the next row"")"),"I do not have enough information to answer the query. I am missing the data for the university in the next row (row 561) to determine its city.")</f>
        <v>I do not have enough information to answer the query. I am missing the data for the university in the next row (row 561) to determine its city.</v>
      </c>
      <c r="D560" t="b">
        <v>0</v>
      </c>
      <c r="E560" t="b">
        <v>0</v>
      </c>
      <c r="G560" t="b">
        <v>0</v>
      </c>
      <c r="H560" t="b">
        <v>0</v>
      </c>
    </row>
    <row r="561">
      <c r="C561" t="str">
        <f>IFERROR(__xludf.DUMMYFUNCTION("AI(""The city of the university that is in the next row"")"),"I do not have enough information to answer the query. I am missing the name of the university in row 562 to determine its city.")</f>
        <v>I do not have enough information to answer the query. I am missing the name of the university in row 562 to determine its city.</v>
      </c>
      <c r="D561" t="b">
        <v>0</v>
      </c>
      <c r="E561" t="b">
        <v>0</v>
      </c>
      <c r="G561" t="b">
        <v>0</v>
      </c>
      <c r="H561" t="b">
        <v>0</v>
      </c>
    </row>
    <row r="562">
      <c r="C562" t="str">
        <f>IFERROR(__xludf.DUMMYFUNCTION("AI(""The city of the university that is in the next row"")"),"I do not have enough information to answer the query. I am missing the university name in the next row (row 563) to determine its city.")</f>
        <v>I do not have enough information to answer the query. I am missing the university name in the next row (row 563) to determine its city.</v>
      </c>
      <c r="D562" t="b">
        <v>0</v>
      </c>
      <c r="E562" t="b">
        <v>0</v>
      </c>
      <c r="G562" t="b">
        <v>0</v>
      </c>
      <c r="H562" t="b">
        <v>0</v>
      </c>
    </row>
    <row r="563">
      <c r="C563" t="str">
        <f>IFERROR(__xludf.DUMMYFUNCTION("AI(""The city of the university that is in the next row"")"),"I do not have enough information to answer the query. I am missing the name of the university in the next row (row 564) to determine its city.")</f>
        <v>I do not have enough information to answer the query. I am missing the name of the university in the next row (row 564) to determine its city.</v>
      </c>
      <c r="D563" t="b">
        <v>0</v>
      </c>
      <c r="E563" t="b">
        <v>0</v>
      </c>
      <c r="G563" t="b">
        <v>0</v>
      </c>
      <c r="H563" t="b">
        <v>0</v>
      </c>
    </row>
    <row r="564">
      <c r="C564" t="str">
        <f>IFERROR(__xludf.DUMMYFUNCTION("AI(""The city of the university that is in the next row"")"),"I do not have enough information to answer the query. The data for the next row (row 565) is missing from the provided spreadsheet context.")</f>
        <v>I do not have enough information to answer the query. The data for the next row (row 565) is missing from the provided spreadsheet context.</v>
      </c>
      <c r="D564" t="b">
        <v>0</v>
      </c>
      <c r="E564" t="b">
        <v>0</v>
      </c>
      <c r="G564" t="b">
        <v>0</v>
      </c>
      <c r="H564" t="b">
        <v>0</v>
      </c>
    </row>
    <row r="565">
      <c r="C565" t="str">
        <f>IFERROR(__xludf.DUMMYFUNCTION("AI(""The city of the university that is in the next row"")"),"I do not have enough information to answer this query. I am missing the data for the next row (row 566) to see the university name.")</f>
        <v>I do not have enough information to answer this query. I am missing the data for the next row (row 566) to see the university name.</v>
      </c>
      <c r="D565" t="b">
        <v>0</v>
      </c>
      <c r="E565" t="b">
        <v>0</v>
      </c>
      <c r="G565" t="b">
        <v>0</v>
      </c>
      <c r="H565" t="b">
        <v>0</v>
      </c>
    </row>
    <row r="566">
      <c r="C566" t="str">
        <f>IFERROR(__xludf.DUMMYFUNCTION("AI(""The city of the university that is in the next row"")"),"I do not have enough information to answer the query. I am missing the university name for this row or the next row to determine its city.")</f>
        <v>I do not have enough information to answer the query. I am missing the university name for this row or the next row to determine its city.</v>
      </c>
      <c r="D566" t="b">
        <v>0</v>
      </c>
      <c r="E566" t="b">
        <v>0</v>
      </c>
      <c r="G566" t="b">
        <v>0</v>
      </c>
      <c r="H566" t="b">
        <v>0</v>
      </c>
    </row>
    <row r="567">
      <c r="C567" t="str">
        <f>IFERROR(__xludf.DUMMYFUNCTION("AI(""The city of the university that is in the next row"")"),"=AI(""The city of the university that is in the next row"")")</f>
        <v>=AI("The city of the university that is in the next row")</v>
      </c>
      <c r="D567" t="b">
        <v>0</v>
      </c>
      <c r="E567" t="b">
        <v>0</v>
      </c>
      <c r="G567" t="b">
        <v>0</v>
      </c>
      <c r="H567" t="b">
        <v>0</v>
      </c>
    </row>
    <row r="568">
      <c r="C568" t="str">
        <f>IFERROR(__xludf.DUMMYFUNCTION("AI(""The city of the university that is in the next row"")"),"Hull")</f>
        <v>Hull</v>
      </c>
      <c r="D568" t="b">
        <v>0</v>
      </c>
      <c r="E568" t="b">
        <v>0</v>
      </c>
      <c r="G568" t="b">
        <v>0</v>
      </c>
      <c r="H568" t="b">
        <v>0</v>
      </c>
    </row>
    <row r="569">
      <c r="C569" t="str">
        <f>IFERROR(__xludf.DUMMYFUNCTION("AI(""The city of the university that is in the next row"")"),"I do not have enough information to answer the query because the data for the next row (row 570) is missing from the provided context.")</f>
        <v>I do not have enough information to answer the query because the data for the next row (row 570) is missing from the provided context.</v>
      </c>
      <c r="D569" t="b">
        <v>0</v>
      </c>
      <c r="E569" t="b">
        <v>0</v>
      </c>
      <c r="G569" t="b">
        <v>0</v>
      </c>
      <c r="H569" t="b">
        <v>0</v>
      </c>
    </row>
    <row r="570">
      <c r="C570" t="str">
        <f>IFERROR(__xludf.DUMMYFUNCTION("AI(""The city of the university that is in the next row"")"),"I do not have enough information to answer the query. I am missing the data for the university name in the next row (row 571) to determine its city.")</f>
        <v>I do not have enough information to answer the query. I am missing the data for the university name in the next row (row 571) to determine its city.</v>
      </c>
      <c r="D570" t="b">
        <v>0</v>
      </c>
      <c r="E570" t="b">
        <v>0</v>
      </c>
      <c r="G570" t="b">
        <v>0</v>
      </c>
      <c r="H570" t="b">
        <v>0</v>
      </c>
    </row>
    <row r="571">
      <c r="C571" t="str">
        <f>IFERROR(__xludf.DUMMYFUNCTION("AI(""The city of the university that is in the next row"")"),"I do not have enough information to answer the query. I am missing the university name in the next row to determine its city.")</f>
        <v>I do not have enough information to answer the query. I am missing the university name in the next row to determine its city.</v>
      </c>
      <c r="D571" t="b">
        <v>0</v>
      </c>
      <c r="E571" t="b">
        <v>0</v>
      </c>
      <c r="G571" t="b">
        <v>0</v>
      </c>
      <c r="H571" t="b">
        <v>0</v>
      </c>
    </row>
    <row r="572">
      <c r="C572" t="str">
        <f>IFERROR(__xludf.DUMMYFUNCTION("AI(""The city of the university that is in the next row"")"),"I do not have enough information to answer the query. I am missing the data for row 573, specifically the university name, to determine its city.")</f>
        <v>I do not have enough information to answer the query. I am missing the data for row 573, specifically the university name, to determine its city.</v>
      </c>
      <c r="D572" t="b">
        <v>0</v>
      </c>
      <c r="E572" t="b">
        <v>0</v>
      </c>
      <c r="G572" t="b">
        <v>0</v>
      </c>
      <c r="H572" t="b">
        <v>0</v>
      </c>
    </row>
    <row r="573">
      <c r="C573" t="str">
        <f>IFERROR(__xludf.DUMMYFUNCTION("AI(""The city of the university that is in the next row"")"),"=AI(""The city of the university that is in the next row"")")</f>
        <v>=AI("The city of the university that is in the next row")</v>
      </c>
      <c r="D573" t="b">
        <v>0</v>
      </c>
      <c r="E573" t="b">
        <v>0</v>
      </c>
      <c r="G573" t="b">
        <v>0</v>
      </c>
      <c r="H573" t="b">
        <v>0</v>
      </c>
    </row>
    <row r="574">
      <c r="C574" t="str">
        <f>IFERROR(__xludf.DUMMYFUNCTION("AI(""The city of the university that is in the next row"")"),"=AI(""The city of the university that is in the next row"")")</f>
        <v>=AI("The city of the university that is in the next row")</v>
      </c>
      <c r="D574" t="b">
        <v>0</v>
      </c>
      <c r="E574" t="b">
        <v>0</v>
      </c>
      <c r="G574" t="b">
        <v>0</v>
      </c>
      <c r="H574" t="b">
        <v>0</v>
      </c>
    </row>
    <row r="575">
      <c r="C575" t="str">
        <f>IFERROR(__xludf.DUMMYFUNCTION("AI(""The city of the university that is in the next row"")"),"I do not have enough information to answer the query. I am missing the university name for the next row to determine its city.")</f>
        <v>I do not have enough information to answer the query. I am missing the university name for the next row to determine its city.</v>
      </c>
      <c r="D575" t="b">
        <v>0</v>
      </c>
      <c r="E575" t="b">
        <v>0</v>
      </c>
      <c r="G575" t="b">
        <v>0</v>
      </c>
      <c r="H575" t="b">
        <v>0</v>
      </c>
    </row>
    <row r="576">
      <c r="C576" t="str">
        <f>IFERROR(__xludf.DUMMYFUNCTION("AI(""The city of the university that is in the next row"")"),"Birmingham")</f>
        <v>Birmingham</v>
      </c>
      <c r="D576" t="b">
        <v>0</v>
      </c>
      <c r="E576" t="b">
        <v>0</v>
      </c>
      <c r="G576" t="b">
        <v>0</v>
      </c>
      <c r="H576" t="b">
        <v>0</v>
      </c>
    </row>
    <row r="577">
      <c r="C577" t="str">
        <f>IFERROR(__xludf.DUMMYFUNCTION("AI(""The city of the university that is in the next row"")"),"=AI(""The city of the university that is in the next row"")")</f>
        <v>=AI("The city of the university that is in the next row")</v>
      </c>
      <c r="D577" t="b">
        <v>0</v>
      </c>
      <c r="E577" t="b">
        <v>0</v>
      </c>
      <c r="G577" t="b">
        <v>0</v>
      </c>
      <c r="H577" t="b">
        <v>0</v>
      </c>
    </row>
    <row r="578">
      <c r="C578" t="str">
        <f>IFERROR(__xludf.DUMMYFUNCTION("AI(""The city of the university that is in the next row"")"),"Birmingham")</f>
        <v>Birmingham</v>
      </c>
      <c r="D578" t="b">
        <v>0</v>
      </c>
      <c r="E578" t="b">
        <v>0</v>
      </c>
      <c r="G578" t="b">
        <v>0</v>
      </c>
      <c r="H578" t="b">
        <v>0</v>
      </c>
    </row>
    <row r="579">
      <c r="C579" t="str">
        <f>IFERROR(__xludf.DUMMYFUNCTION("AI(""The city of the university that is in the next row"")"),"Newberg")</f>
        <v>Newberg</v>
      </c>
      <c r="D579" t="b">
        <v>0</v>
      </c>
      <c r="E579" t="b">
        <v>0</v>
      </c>
      <c r="G579" t="b">
        <v>0</v>
      </c>
      <c r="H579" t="b">
        <v>0</v>
      </c>
    </row>
    <row r="580">
      <c r="C580" t="str">
        <f>IFERROR(__xludf.DUMMYFUNCTION("AI(""The city of the university that is in the next row"")"),"I do not have enough information to answer the query. I am missing the data for the university in the next row (row 581) to determine its city.")</f>
        <v>I do not have enough information to answer the query. I am missing the data for the university in the next row (row 581) to determine its city.</v>
      </c>
      <c r="D580" t="b">
        <v>0</v>
      </c>
      <c r="E580" t="b">
        <v>0</v>
      </c>
      <c r="G580" t="b">
        <v>0</v>
      </c>
      <c r="H580" t="b">
        <v>0</v>
      </c>
    </row>
    <row r="581">
      <c r="C581" t="str">
        <f>IFERROR(__xludf.DUMMYFUNCTION("AI(""The city of the university that is in the next row"")"),"I do not have enough information to answer the query. I am missing the university data for the subsequent rows in the spreadsheet.")</f>
        <v>I do not have enough information to answer the query. I am missing the university data for the subsequent rows in the spreadsheet.</v>
      </c>
      <c r="D581" t="b">
        <v>0</v>
      </c>
      <c r="E581" t="b">
        <v>0</v>
      </c>
      <c r="G581" t="b">
        <v>0</v>
      </c>
      <c r="H581" t="b">
        <v>0</v>
      </c>
    </row>
    <row r="582">
      <c r="C582" t="str">
        <f>IFERROR(__xludf.DUMMYFUNCTION("AI(""The city of the university that is in the next row"")"),"=AI(""The city of the university that is in the next row"")")</f>
        <v>=AI("The city of the university that is in the next row")</v>
      </c>
      <c r="D582" t="b">
        <v>0</v>
      </c>
      <c r="E582" t="b">
        <v>0</v>
      </c>
      <c r="G582" t="b">
        <v>0</v>
      </c>
      <c r="H582" t="b">
        <v>0</v>
      </c>
    </row>
    <row r="583">
      <c r="C583" t="str">
        <f>IFERROR(__xludf.DUMMYFUNCTION("AI(""The city of the university that is in the next row"")"),"=AI(""The city of the university that is in the next row"")")</f>
        <v>=AI("The city of the university that is in the next row")</v>
      </c>
      <c r="D583" t="b">
        <v>0</v>
      </c>
      <c r="E583" t="b">
        <v>0</v>
      </c>
      <c r="G583" t="b">
        <v>0</v>
      </c>
      <c r="H583" t="b">
        <v>0</v>
      </c>
    </row>
    <row r="584">
      <c r="C584" t="str">
        <f>IFERROR(__xludf.DUMMYFUNCTION("AI(""The city of the university that is in the next row"")"),"I do not have enough information to answer the query. I am missing the name of the university in the row or the next row to determine its city.")</f>
        <v>I do not have enough information to answer the query. I am missing the name of the university in the row or the next row to determine its city.</v>
      </c>
      <c r="D584" t="b">
        <v>0</v>
      </c>
      <c r="E584" t="b">
        <v>0</v>
      </c>
      <c r="G584" t="b">
        <v>0</v>
      </c>
      <c r="H584" t="b">
        <v>0</v>
      </c>
    </row>
    <row r="585">
      <c r="C585" t="str">
        <f>IFERROR(__xludf.DUMMYFUNCTION("AI(""The city of the university that is in the next row"")"),"I do not have enough information to answer the query. I am missing the university name in the next row (row 586) to determine its city.")</f>
        <v>I do not have enough information to answer the query. I am missing the university name in the next row (row 586) to determine its city.</v>
      </c>
      <c r="D585" t="b">
        <v>0</v>
      </c>
      <c r="E585" t="b">
        <v>0</v>
      </c>
      <c r="G585" t="b">
        <v>0</v>
      </c>
      <c r="H585" t="b">
        <v>0</v>
      </c>
    </row>
    <row r="586">
      <c r="C586" t="str">
        <f>IFERROR(__xludf.DUMMYFUNCTION("AI(""The city of the university that is in the next row"")"),"I do not have enough information to answer the query. I am missing the name of the university in the next row (row 587) to determine its city.")</f>
        <v>I do not have enough information to answer the query. I am missing the name of the university in the next row (row 587) to determine its city.</v>
      </c>
      <c r="D586" t="b">
        <v>0</v>
      </c>
      <c r="E586" t="b">
        <v>0</v>
      </c>
      <c r="G586" t="b">
        <v>0</v>
      </c>
      <c r="H586" t="b">
        <v>0</v>
      </c>
    </row>
    <row r="587">
      <c r="C587" t="str">
        <f>IFERROR(__xludf.DUMMYFUNCTION("AI(""The city of the university that is in the next row"")"),"I do not have enough information to answer the query. I am missing the data for the university name in the next row (row 588) to determine its city.")</f>
        <v>I do not have enough information to answer the query. I am missing the data for the university name in the next row (row 588) to determine its city.</v>
      </c>
      <c r="D587" t="b">
        <v>0</v>
      </c>
      <c r="E587" t="b">
        <v>0</v>
      </c>
      <c r="G587" t="b">
        <v>0</v>
      </c>
      <c r="H587" t="b">
        <v>0</v>
      </c>
    </row>
    <row r="588">
      <c r="C588" t="str">
        <f>IFERROR(__xludf.DUMMYFUNCTION("AI(""The city of the university that is in the next row"")"),"I do not have enough information to answer the query, as the spreadsheet context does not display the university name for row 588 or the subsequent rows.")</f>
        <v>I do not have enough information to answer the query, as the spreadsheet context does not display the university name for row 588 or the subsequent rows.</v>
      </c>
      <c r="D588" t="b">
        <v>0</v>
      </c>
      <c r="E588" t="b">
        <v>0</v>
      </c>
      <c r="G588" t="b">
        <v>0</v>
      </c>
      <c r="H588" t="b">
        <v>0</v>
      </c>
    </row>
    <row r="589">
      <c r="C589" t="str">
        <f>IFERROR(__xludf.DUMMYFUNCTION("AI(""The city of the university that is in the next row"")"),"=AI(""The city of the university that is in the next row"")")</f>
        <v>=AI("The city of the university that is in the next row")</v>
      </c>
      <c r="D589" t="b">
        <v>0</v>
      </c>
      <c r="E589" t="b">
        <v>0</v>
      </c>
      <c r="G589" t="b">
        <v>0</v>
      </c>
      <c r="H589" t="b">
        <v>0</v>
      </c>
    </row>
    <row r="590">
      <c r="C590" t="str">
        <f>IFERROR(__xludf.DUMMYFUNCTION("AI(""The city of the university that is in the next row"")"),"=AI(""The city of the university that is in the next row"")")</f>
        <v>=AI("The city of the university that is in the next row")</v>
      </c>
      <c r="D590" t="b">
        <v>0</v>
      </c>
      <c r="E590" t="b">
        <v>0</v>
      </c>
      <c r="G590" t="b">
        <v>0</v>
      </c>
      <c r="H590" t="b">
        <v>0</v>
      </c>
    </row>
    <row r="591">
      <c r="C591" t="str">
        <f>IFERROR(__xludf.DUMMYFUNCTION("AI(""The city of the university that is in the next row"")"),"=AI(""The city of the university that is in the next row"")")</f>
        <v>=AI("The city of the university that is in the next row")</v>
      </c>
      <c r="D591" t="b">
        <v>0</v>
      </c>
      <c r="E591" t="b">
        <v>0</v>
      </c>
      <c r="G591" t="b">
        <v>0</v>
      </c>
      <c r="H591" t="b">
        <v>0</v>
      </c>
    </row>
    <row r="592">
      <c r="C592" t="str">
        <f>IFERROR(__xludf.DUMMYFUNCTION("AI(""The city of the university that is in the next row"")"),"I do not have enough information to answer the query. I am missing the data for the university name in the next row (row 593) to determine its city.")</f>
        <v>I do not have enough information to answer the query. I am missing the data for the university name in the next row (row 593) to determine its city.</v>
      </c>
      <c r="D592" t="b">
        <v>0</v>
      </c>
      <c r="E592" t="b">
        <v>0</v>
      </c>
      <c r="G592" t="b">
        <v>0</v>
      </c>
      <c r="H592" t="b">
        <v>0</v>
      </c>
    </row>
    <row r="593">
      <c r="C593" t="str">
        <f>IFERROR(__xludf.DUMMYFUNCTION("AI(""The city of the university that is in the next row"")"),"I do not have enough information to answer the query. I am missing the name of the university to determine its city.")</f>
        <v>I do not have enough information to answer the query. I am missing the name of the university to determine its city.</v>
      </c>
      <c r="D593" t="b">
        <v>0</v>
      </c>
      <c r="E593" t="b">
        <v>0</v>
      </c>
      <c r="G593" t="b">
        <v>0</v>
      </c>
      <c r="H593" t="b">
        <v>0</v>
      </c>
    </row>
    <row r="594">
      <c r="C594" t="str">
        <f>IFERROR(__xludf.DUMMYFUNCTION("AI(""The city of the university that is in the next row"")"),"I do not have enough information to answer the query. I am missing the university name for the next row to determine its city.")</f>
        <v>I do not have enough information to answer the query. I am missing the university name for the next row to determine its city.</v>
      </c>
      <c r="D594" t="b">
        <v>0</v>
      </c>
      <c r="E594" t="b">
        <v>0</v>
      </c>
      <c r="G594" t="b">
        <v>0</v>
      </c>
      <c r="H594" t="b">
        <v>0</v>
      </c>
    </row>
    <row r="595">
      <c r="C595" t="str">
        <f>IFERROR(__xludf.DUMMYFUNCTION("AI(""The city of the university that is in the next row"")"),"=AI(""The city of the university that is in the next row"")")</f>
        <v>=AI("The city of the university that is in the next row")</v>
      </c>
      <c r="D595" t="b">
        <v>0</v>
      </c>
      <c r="E595" t="b">
        <v>0</v>
      </c>
      <c r="G595" t="b">
        <v>0</v>
      </c>
      <c r="H595" t="b">
        <v>0</v>
      </c>
    </row>
    <row r="596">
      <c r="C596" t="str">
        <f>IFERROR(__xludf.DUMMYFUNCTION("AI(""The city of the university that is in the next row"")"),"=AI(""The city of the university that is in the next row"")")</f>
        <v>=AI("The city of the university that is in the next row")</v>
      </c>
      <c r="D596" t="b">
        <v>0</v>
      </c>
      <c r="E596" t="b">
        <v>0</v>
      </c>
      <c r="G596" t="b">
        <v>0</v>
      </c>
      <c r="H596" t="b">
        <v>0</v>
      </c>
    </row>
    <row r="597">
      <c r="C597" t="str">
        <f>IFERROR(__xludf.DUMMYFUNCTION("AI(""The city of the university that is in the next row"")"),"Cambridge")</f>
        <v>Cambridge</v>
      </c>
      <c r="D597" t="b">
        <v>0</v>
      </c>
      <c r="E597" t="b">
        <v>0</v>
      </c>
      <c r="G597" t="b">
        <v>0</v>
      </c>
      <c r="H597" t="b">
        <v>0</v>
      </c>
    </row>
    <row r="598">
      <c r="C598" t="str">
        <f>IFERROR(__xludf.DUMMYFUNCTION("AI(""The city of the university that is in the next row"")"),"=AI(""The city of the university that is in the next row"")")</f>
        <v>=AI("The city of the university that is in the next row")</v>
      </c>
      <c r="D598" t="b">
        <v>0</v>
      </c>
      <c r="E598" t="b">
        <v>0</v>
      </c>
      <c r="G598" t="b">
        <v>0</v>
      </c>
      <c r="H598" t="b">
        <v>0</v>
      </c>
    </row>
    <row r="599">
      <c r="C599" t="str">
        <f>IFERROR(__xludf.DUMMYFUNCTION("AI(""The city of the university that is in the next row"")"),"I do not have enough information to answer the query. I am missing the data for the university in the next row (row 600) to determine its city.")</f>
        <v>I do not have enough information to answer the query. I am missing the data for the university in the next row (row 600) to determine its city.</v>
      </c>
      <c r="D599" t="b">
        <v>0</v>
      </c>
      <c r="E599" t="b">
        <v>0</v>
      </c>
      <c r="G599" t="b">
        <v>0</v>
      </c>
      <c r="H599" t="b">
        <v>0</v>
      </c>
    </row>
    <row r="600">
      <c r="C600" t="str">
        <f>IFERROR(__xludf.DUMMYFUNCTION("AI(""The city of the university that is in the next row"")"),"I do not have enough information to provide the city. The university name for this row or the next row is missing from the spreadsheet context. Please include the university name to get the correct city.")</f>
        <v>I do not have enough information to provide the city. The university name for this row or the next row is missing from the spreadsheet context. Please include the university name to get the correct city.</v>
      </c>
      <c r="D600" t="b">
        <v>0</v>
      </c>
      <c r="E600" t="b">
        <v>0</v>
      </c>
      <c r="G600" t="b">
        <v>0</v>
      </c>
      <c r="H600" t="b">
        <v>0</v>
      </c>
    </row>
    <row r="601">
      <c r="C601" t="str">
        <f>IFERROR(__xludf.DUMMYFUNCTION("AI(""The city of the university that is in the next row"")"),"I do not have enough information to answer the query. I am missing the university name in row 602 to determine its city.")</f>
        <v>I do not have enough information to answer the query. I am missing the university name in row 602 to determine its city.</v>
      </c>
      <c r="D601" t="b">
        <v>0</v>
      </c>
      <c r="E601" t="b">
        <v>0</v>
      </c>
      <c r="G601" t="b">
        <v>0</v>
      </c>
      <c r="H601" t="b">
        <v>0</v>
      </c>
    </row>
    <row r="602">
      <c r="C602" t="str">
        <f>IFERROR(__xludf.DUMMYFUNCTION("AI(""The city of the university that is in the next row"")"),"=AI(""The city of the university that is in the next row"")")</f>
        <v>=AI("The city of the university that is in the next row")</v>
      </c>
      <c r="D602" t="b">
        <v>0</v>
      </c>
      <c r="E602" t="b">
        <v>0</v>
      </c>
      <c r="G602" t="b">
        <v>0</v>
      </c>
      <c r="H602" t="b">
        <v>0</v>
      </c>
    </row>
    <row r="603">
      <c r="C603" t="str">
        <f>IFERROR(__xludf.DUMMYFUNCTION("AI(""The city of the university that is in the next row"")"),"I do not have enough information to answer the query. I am missing the university name in the next row (row 604) to determine its city.")</f>
        <v>I do not have enough information to answer the query. I am missing the university name in the next row (row 604) to determine its city.</v>
      </c>
      <c r="D603" t="b">
        <v>0</v>
      </c>
      <c r="E603" t="b">
        <v>0</v>
      </c>
      <c r="G603" t="b">
        <v>0</v>
      </c>
      <c r="H603" t="b">
        <v>0</v>
      </c>
    </row>
    <row r="604">
      <c r="C604" t="str">
        <f>IFERROR(__xludf.DUMMYFUNCTION("AI(""The city of the university that is in the next row"")"),"=AI(""The city of the university that is in the next row"")")</f>
        <v>=AI("The city of the university that is in the next row")</v>
      </c>
      <c r="D604" t="b">
        <v>0</v>
      </c>
      <c r="E604" t="b">
        <v>0</v>
      </c>
      <c r="G604" t="b">
        <v>0</v>
      </c>
      <c r="H604" t="b">
        <v>0</v>
      </c>
    </row>
    <row r="605">
      <c r="C605" t="str">
        <f>IFERROR(__xludf.DUMMYFUNCTION("AI(""The city of the university that is in the next row"")"),"=AI(""The city of the university that is in the next row"")")</f>
        <v>=AI("The city of the university that is in the next row")</v>
      </c>
      <c r="D605" t="b">
        <v>0</v>
      </c>
      <c r="E605" t="b">
        <v>0</v>
      </c>
      <c r="G605" t="b">
        <v>0</v>
      </c>
      <c r="H605" t="b">
        <v>0</v>
      </c>
    </row>
    <row r="606">
      <c r="C606" t="str">
        <f>IFERROR(__xludf.DUMMYFUNCTION("AI(""The city of the university that is in the next row"")"),"I do not have enough information to answer this query. I am missing the university name for the row to determine its city.")</f>
        <v>I do not have enough information to answer this query. I am missing the university name for the row to determine its city.</v>
      </c>
      <c r="D606" t="b">
        <v>0</v>
      </c>
      <c r="E606" t="b">
        <v>0</v>
      </c>
      <c r="G606" t="b">
        <v>0</v>
      </c>
      <c r="H606" t="b">
        <v>0</v>
      </c>
    </row>
    <row r="607">
      <c r="C607" t="str">
        <f>IFERROR(__xludf.DUMMYFUNCTION("AI(""The city of the university that is in the next row"")"),"I do not have enough information to determine the city because the university name in row 608 is missing from the provided context.")</f>
        <v>I do not have enough information to determine the city because the university name in row 608 is missing from the provided context.</v>
      </c>
      <c r="D607" t="b">
        <v>0</v>
      </c>
      <c r="E607" t="b">
        <v>0</v>
      </c>
      <c r="G607" t="b">
        <v>0</v>
      </c>
      <c r="H607" t="b">
        <v>0</v>
      </c>
    </row>
    <row r="608">
      <c r="C608" t="str">
        <f>IFERROR(__xludf.DUMMYFUNCTION("AI(""The city of the university that is in the next row"")"),"I do not have enough information to answer the query. I am missing the data for the next row (row 609) to identify its university and corresponding city.")</f>
        <v>I do not have enough information to answer the query. I am missing the data for the next row (row 609) to identify its university and corresponding city.</v>
      </c>
      <c r="D608" t="b">
        <v>0</v>
      </c>
      <c r="E608" t="b">
        <v>0</v>
      </c>
      <c r="G608" t="b">
        <v>0</v>
      </c>
      <c r="H608" t="b">
        <v>0</v>
      </c>
    </row>
    <row r="609">
      <c r="C609" t="str">
        <f>IFERROR(__xludf.DUMMYFUNCTION("AI(""The city of the university that is in the next row"")"),"I do not have enough information to answer this query. I am missing the university name in the next row (row 610) to determine its city.")</f>
        <v>I do not have enough information to answer this query. I am missing the university name in the next row (row 610) to determine its city.</v>
      </c>
      <c r="D609" t="b">
        <v>0</v>
      </c>
      <c r="E609" t="b">
        <v>0</v>
      </c>
      <c r="G609" t="b">
        <v>0</v>
      </c>
      <c r="H609" t="b">
        <v>0</v>
      </c>
    </row>
    <row r="610">
      <c r="C610" t="str">
        <f>IFERROR(__xludf.DUMMYFUNCTION("AI(""The city of the university that is in the next row"")"),"=AI(""The city of the university that is in the next row"")")</f>
        <v>=AI("The city of the university that is in the next row")</v>
      </c>
      <c r="D610" t="b">
        <v>0</v>
      </c>
      <c r="E610" t="b">
        <v>0</v>
      </c>
      <c r="G610" t="b">
        <v>0</v>
      </c>
      <c r="H610" t="b">
        <v>0</v>
      </c>
    </row>
    <row r="611">
      <c r="C611" t="str">
        <f>IFERROR(__xludf.DUMMYFUNCTION("AI(""The city of the university that is in the next row"")"),"I do not have enough information to answer this query. I am missing the name of the university in the next row to determine its city.")</f>
        <v>I do not have enough information to answer this query. I am missing the name of the university in the next row to determine its city.</v>
      </c>
      <c r="D611" t="b">
        <v>0</v>
      </c>
      <c r="E611" t="b">
        <v>0</v>
      </c>
      <c r="G611" t="b">
        <v>0</v>
      </c>
      <c r="H611" t="b">
        <v>0</v>
      </c>
    </row>
    <row r="612">
      <c r="C612" t="str">
        <f>IFERROR(__xludf.DUMMYFUNCTION("AI(""The city of the university that is in the next row"")"),"I do not have enough information to answer the query. I am missing the university name in the next row (row 613) to determine its city.")</f>
        <v>I do not have enough information to answer the query. I am missing the university name in the next row (row 613) to determine its city.</v>
      </c>
      <c r="D612" t="b">
        <v>0</v>
      </c>
      <c r="E612" t="b">
        <v>0</v>
      </c>
      <c r="G612" t="b">
        <v>0</v>
      </c>
      <c r="H612" t="b">
        <v>0</v>
      </c>
    </row>
    <row r="613">
      <c r="C613" t="str">
        <f>IFERROR(__xludf.DUMMYFUNCTION("AI(""The city of the university that is in the next row"")"),"I do not have enough information to determine the city because the university name for this row is missing from the provided context.")</f>
        <v>I do not have enough information to determine the city because the university name for this row is missing from the provided context.</v>
      </c>
      <c r="D613" t="b">
        <v>0</v>
      </c>
      <c r="E613" t="b">
        <v>0</v>
      </c>
      <c r="G613" t="b">
        <v>0</v>
      </c>
      <c r="H613" t="b">
        <v>0</v>
      </c>
    </row>
    <row r="614">
      <c r="C614" t="str">
        <f>IFERROR(__xludf.DUMMYFUNCTION("AI(""The city of the university that is in the next row"")"),"I do not have enough information to determine the city because the university name in the next row (row 615) is missing from the provided context.")</f>
        <v>I do not have enough information to determine the city because the university name in the next row (row 615) is missing from the provided context.</v>
      </c>
      <c r="D614" t="b">
        <v>0</v>
      </c>
      <c r="E614" t="b">
        <v>0</v>
      </c>
      <c r="G614" t="b">
        <v>0</v>
      </c>
      <c r="H614" t="b">
        <v>0</v>
      </c>
    </row>
    <row r="615">
      <c r="C615" t="str">
        <f>IFERROR(__xludf.DUMMYFUNCTION("AI(""The city of the university that is in the next row"")"),"=AI(""The city of the university that is in the next row"")")</f>
        <v>=AI("The city of the university that is in the next row")</v>
      </c>
      <c r="D615" t="b">
        <v>0</v>
      </c>
      <c r="E615" t="b">
        <v>0</v>
      </c>
      <c r="G615" t="b">
        <v>0</v>
      </c>
      <c r="H615" t="b">
        <v>0</v>
      </c>
    </row>
    <row r="616">
      <c r="C616" t="str">
        <f>IFERROR(__xludf.DUMMYFUNCTION("AI(""The city of the university that is in the next row"")"),"I do not have enough information to determine the city because the university name in the next row (row 617) is missing from the spreadsheet context.")</f>
        <v>I do not have enough information to determine the city because the university name in the next row (row 617) is missing from the spreadsheet context.</v>
      </c>
      <c r="D616" t="b">
        <v>0</v>
      </c>
      <c r="E616" t="b">
        <v>0</v>
      </c>
      <c r="G616" t="b">
        <v>0</v>
      </c>
      <c r="H616" t="b">
        <v>0</v>
      </c>
    </row>
    <row r="617">
      <c r="C617" t="str">
        <f>IFERROR(__xludf.DUMMYFUNCTION("AI(""The city of the university that is in the next row"")"),"I do not have enough information to answer the query. I am missing the data for row 618 to determine the university and its city.")</f>
        <v>I do not have enough information to answer the query. I am missing the data for row 618 to determine the university and its city.</v>
      </c>
      <c r="D617" t="b">
        <v>0</v>
      </c>
      <c r="E617" t="b">
        <v>0</v>
      </c>
      <c r="G617" t="b">
        <v>0</v>
      </c>
      <c r="H617" t="b">
        <v>0</v>
      </c>
    </row>
    <row r="618">
      <c r="C618" t="str">
        <f>IFERROR(__xludf.DUMMYFUNCTION("AI(""The city of the university that is in the next row"")"),"I do not have enough information to answer the query. I am missing the name of the university in the next row (row 619) to determine its city.")</f>
        <v>I do not have enough information to answer the query. I am missing the name of the university in the next row (row 619) to determine its city.</v>
      </c>
      <c r="D618" t="b">
        <v>0</v>
      </c>
      <c r="E618" t="b">
        <v>0</v>
      </c>
      <c r="G618" t="b">
        <v>0</v>
      </c>
      <c r="H618" t="b">
        <v>0</v>
      </c>
    </row>
    <row r="619">
      <c r="C619" t="str">
        <f>IFERROR(__xludf.DUMMYFUNCTION("AI(""The city of the university that is in the next row"")"),"I do not have enough information to answer the query. The university name in row 620 is missing from the provided context.")</f>
        <v>I do not have enough information to answer the query. The university name in row 620 is missing from the provided context.</v>
      </c>
      <c r="D619" t="b">
        <v>0</v>
      </c>
      <c r="E619" t="b">
        <v>0</v>
      </c>
      <c r="G619" t="b">
        <v>0</v>
      </c>
      <c r="H619" t="b">
        <v>0</v>
      </c>
    </row>
    <row r="620">
      <c r="C620" t="str">
        <f>IFERROR(__xludf.DUMMYFUNCTION("AI(""The city of the university that is in the next row"")"),"I do not have enough information to answer the query. I am missing the name of the university for this row to determine its city.")</f>
        <v>I do not have enough information to answer the query. I am missing the name of the university for this row to determine its city.</v>
      </c>
      <c r="D620" t="b">
        <v>0</v>
      </c>
      <c r="E620" t="b">
        <v>0</v>
      </c>
      <c r="G620" t="b">
        <v>0</v>
      </c>
      <c r="H620" t="b">
        <v>0</v>
      </c>
    </row>
    <row r="621">
      <c r="C621" t="str">
        <f>IFERROR(__xludf.DUMMYFUNCTION("AI(""The city of the university that is in the next row"")"),"I do not have enough information to answer the query. I am missing the data for the university name in the subsequent row to determine its city.")</f>
        <v>I do not have enough information to answer the query. I am missing the data for the university name in the subsequent row to determine its city.</v>
      </c>
      <c r="D621" t="b">
        <v>0</v>
      </c>
      <c r="E621" t="b">
        <v>0</v>
      </c>
      <c r="G621" t="b">
        <v>0</v>
      </c>
      <c r="H621" t="b">
        <v>0</v>
      </c>
    </row>
    <row r="622">
      <c r="C622" t="str">
        <f>IFERROR(__xludf.DUMMYFUNCTION("AI(""The city of the university that is in the next row"")"),"=AI(""The city of the university that is in the next row"")")</f>
        <v>=AI("The city of the university that is in the next row")</v>
      </c>
      <c r="D622" t="b">
        <v>0</v>
      </c>
      <c r="E622" t="b">
        <v>0</v>
      </c>
      <c r="G622" t="b">
        <v>0</v>
      </c>
      <c r="H622" t="b">
        <v>0</v>
      </c>
    </row>
    <row r="623">
      <c r="C623" t="str">
        <f>IFERROR(__xludf.DUMMYFUNCTION("AI(""The city of the university that is in the next row"")"),"I do not have enough information to answer the query. I am missing the university name for this row to determine its city.")</f>
        <v>I do not have enough information to answer the query. I am missing the university name for this row to determine its city.</v>
      </c>
      <c r="D623" t="b">
        <v>0</v>
      </c>
      <c r="E623" t="b">
        <v>0</v>
      </c>
      <c r="G623" t="b">
        <v>0</v>
      </c>
      <c r="H623" t="b">
        <v>0</v>
      </c>
    </row>
    <row r="624">
      <c r="C624" t="str">
        <f>IFERROR(__xludf.DUMMYFUNCTION("AI(""The city of the university that is in the next row"")"),"I do not have enough information to answer the query. I am missing the data for the next row (row 625) to identify the university and determine its city.")</f>
        <v>I do not have enough information to answer the query. I am missing the data for the next row (row 625) to identify the university and determine its city.</v>
      </c>
      <c r="D624" t="b">
        <v>0</v>
      </c>
      <c r="E624" t="b">
        <v>0</v>
      </c>
      <c r="G624" t="b">
        <v>0</v>
      </c>
      <c r="H624" t="b">
        <v>0</v>
      </c>
    </row>
    <row r="625">
      <c r="C625" t="str">
        <f>IFERROR(__xludf.DUMMYFUNCTION("AI(""The city of the university that is in the next row"")"),"I do not have enough information to answer the query. I am missing the university name for this row or the next row to determine the correct city.")</f>
        <v>I do not have enough information to answer the query. I am missing the university name for this row or the next row to determine the correct city.</v>
      </c>
      <c r="D625" t="b">
        <v>0</v>
      </c>
      <c r="E625" t="b">
        <v>0</v>
      </c>
      <c r="G625" t="b">
        <v>0</v>
      </c>
      <c r="H625" t="b">
        <v>0</v>
      </c>
    </row>
    <row r="626">
      <c r="C626" t="str">
        <f>IFERROR(__xludf.DUMMYFUNCTION("AI(""The city of the university that is in the next row"")"),"I do not have enough information to answer the query. I am missing the name of the university in the next row to determine its city.")</f>
        <v>I do not have enough information to answer the query. I am missing the name of the university in the next row to determine its city.</v>
      </c>
      <c r="D626" t="b">
        <v>0</v>
      </c>
      <c r="E626" t="b">
        <v>0</v>
      </c>
      <c r="G626" t="b">
        <v>0</v>
      </c>
      <c r="H626" t="b">
        <v>0</v>
      </c>
    </row>
    <row r="627">
      <c r="C627" t="str">
        <f>IFERROR(__xludf.DUMMYFUNCTION("AI(""The city of the university that is in the next row"")"),"I do not have enough information to answer the query because the university name in row 628 is missing from the provided spreadsheet context.")</f>
        <v>I do not have enough information to answer the query because the university name in row 628 is missing from the provided spreadsheet context.</v>
      </c>
      <c r="D627" t="b">
        <v>0</v>
      </c>
      <c r="E627" t="b">
        <v>0</v>
      </c>
      <c r="G627" t="b">
        <v>0</v>
      </c>
      <c r="H627" t="b">
        <v>0</v>
      </c>
    </row>
    <row r="628">
      <c r="C628" t="str">
        <f>IFERROR(__xludf.DUMMYFUNCTION("AI(""The city of the university that is in the next row"")"),"=AI(""The city of the university that is in the next row"")")</f>
        <v>=AI("The city of the university that is in the next row")</v>
      </c>
      <c r="D628" t="b">
        <v>0</v>
      </c>
      <c r="E628" t="b">
        <v>0</v>
      </c>
      <c r="G628" t="b">
        <v>0</v>
      </c>
      <c r="H628" t="b">
        <v>0</v>
      </c>
    </row>
    <row r="629">
      <c r="C629" t="str">
        <f>IFERROR(__xludf.DUMMYFUNCTION("AI(""The city of the university that is in the next row"")"),"=AI(""The city of the university that is in the next row"")")</f>
        <v>=AI("The city of the university that is in the next row")</v>
      </c>
      <c r="D629" t="b">
        <v>0</v>
      </c>
      <c r="E629" t="b">
        <v>0</v>
      </c>
      <c r="G629" t="b">
        <v>0</v>
      </c>
      <c r="H629" t="b">
        <v>0</v>
      </c>
    </row>
    <row r="630">
      <c r="C630" t="str">
        <f>IFERROR(__xludf.DUMMYFUNCTION("AI(""The city of the university that is in the next row"")"),"I do not have enough information to answer the query. I am missing the data for the next row (row 631) to determine its university and city.")</f>
        <v>I do not have enough information to answer the query. I am missing the data for the next row (row 631) to determine its university and city.</v>
      </c>
      <c r="D630" t="b">
        <v>0</v>
      </c>
      <c r="E630" t="b">
        <v>0</v>
      </c>
      <c r="G630" t="b">
        <v>0</v>
      </c>
      <c r="H630" t="b">
        <v>0</v>
      </c>
    </row>
    <row r="631">
      <c r="C631" t="str">
        <f>IFERROR(__xludf.DUMMYFUNCTION("AI(""The city of the university that is in the next row"")"),"I do not have enough information to answer the query. I am missing the name of the university in the next row (row 632) to determine its city.")</f>
        <v>I do not have enough information to answer the query. I am missing the name of the university in the next row (row 632) to determine its city.</v>
      </c>
      <c r="D631" t="b">
        <v>0</v>
      </c>
      <c r="E631" t="b">
        <v>0</v>
      </c>
      <c r="G631" t="b">
        <v>0</v>
      </c>
      <c r="H631" t="b">
        <v>0</v>
      </c>
    </row>
    <row r="632">
      <c r="C632" t="str">
        <f>IFERROR(__xludf.DUMMYFUNCTION("AI(""The city of the university that is in the next row"")"),"I do not have enough information to answer the query, as the spreadsheet data for the next row (row 633) is missing from the context.")</f>
        <v>I do not have enough information to answer the query, as the spreadsheet data for the next row (row 633) is missing from the context.</v>
      </c>
      <c r="D632" t="b">
        <v>0</v>
      </c>
      <c r="E632" t="b">
        <v>0</v>
      </c>
      <c r="G632" t="b">
        <v>0</v>
      </c>
      <c r="H632" t="b">
        <v>0</v>
      </c>
    </row>
    <row r="633">
      <c r="C633" t="str">
        <f>IFERROR(__xludf.DUMMYFUNCTION("AI(""The city of the university that is in the next row"")"),"I do not have enough information to answer the query. I am missing the university name for the next row to determine its city.")</f>
        <v>I do not have enough information to answer the query. I am missing the university name for the next row to determine its city.</v>
      </c>
      <c r="D633" t="b">
        <v>0</v>
      </c>
      <c r="E633" t="b">
        <v>0</v>
      </c>
      <c r="G633" t="b">
        <v>0</v>
      </c>
      <c r="H633" t="b">
        <v>0</v>
      </c>
    </row>
    <row r="634">
      <c r="C634" t="str">
        <f>IFERROR(__xludf.DUMMYFUNCTION("AI(""The city of the university that is in the next row"")"),"I do not have enough information to answer the query. I am missing the university name in the next row (row 635) to determine its city.")</f>
        <v>I do not have enough information to answer the query. I am missing the university name in the next row (row 635) to determine its city.</v>
      </c>
      <c r="D634" t="b">
        <v>0</v>
      </c>
      <c r="E634" t="b">
        <v>0</v>
      </c>
      <c r="G634" t="b">
        <v>0</v>
      </c>
      <c r="H634" t="b">
        <v>0</v>
      </c>
    </row>
    <row r="635">
      <c r="C635" t="str">
        <f>IFERROR(__xludf.DUMMYFUNCTION("AI(""The city of the university that is in the next row"")"),"I do not have enough information to answer this query. I am missing the university data for row 636 to determine its city.")</f>
        <v>I do not have enough information to answer this query. I am missing the university data for row 636 to determine its city.</v>
      </c>
      <c r="D635" t="b">
        <v>0</v>
      </c>
      <c r="E635" t="b">
        <v>0</v>
      </c>
      <c r="G635" t="b">
        <v>0</v>
      </c>
      <c r="H635" t="b">
        <v>0</v>
      </c>
    </row>
    <row r="636">
      <c r="C636" t="str">
        <f>IFERROR(__xludf.DUMMYFUNCTION("AI(""The city of the university that is in the next row"")"),"Aberdeen")</f>
        <v>Aberdeen</v>
      </c>
      <c r="D636" t="b">
        <v>0</v>
      </c>
      <c r="E636" t="b">
        <v>0</v>
      </c>
      <c r="G636" t="b">
        <v>0</v>
      </c>
      <c r="H636" t="b">
        <v>0</v>
      </c>
    </row>
    <row r="637">
      <c r="C637" t="str">
        <f>IFERROR(__xludf.DUMMYFUNCTION("AI(""The city of the university that is in the next row"")"),"I do not have enough information to answer the query. I am missing the university name for the next row (row 638) to determine its city.")</f>
        <v>I do not have enough information to answer the query. I am missing the university name for the next row (row 638) to determine its city.</v>
      </c>
      <c r="D637" t="b">
        <v>0</v>
      </c>
      <c r="E637" t="b">
        <v>0</v>
      </c>
      <c r="G637" t="b">
        <v>0</v>
      </c>
      <c r="H637" t="b">
        <v>0</v>
      </c>
    </row>
    <row r="638">
      <c r="C638" t="str">
        <f>IFERROR(__xludf.DUMMYFUNCTION("AI(""The city of the university that is in the next row"")"),"I do not have enough information to answer the query. I am missing the university name in the next row (row 639) to determine its city.")</f>
        <v>I do not have enough information to answer the query. I am missing the university name in the next row (row 639) to determine its city.</v>
      </c>
      <c r="D638" t="b">
        <v>0</v>
      </c>
      <c r="E638" t="b">
        <v>0</v>
      </c>
      <c r="G638" t="b">
        <v>0</v>
      </c>
      <c r="H638" t="b">
        <v>0</v>
      </c>
    </row>
    <row r="639">
      <c r="C639" t="str">
        <f>IFERROR(__xludf.DUMMYFUNCTION("AI(""The city of the university that is in the next row"")"),"Sheffield")</f>
        <v>Sheffield</v>
      </c>
      <c r="D639" t="b">
        <v>0</v>
      </c>
      <c r="E639" t="b">
        <v>0</v>
      </c>
      <c r="G639" t="b">
        <v>0</v>
      </c>
      <c r="H639" t="b">
        <v>0</v>
      </c>
    </row>
    <row r="640">
      <c r="C640" t="str">
        <f>IFERROR(__xludf.DUMMYFUNCTION("AI(""The city of the university that is in the next row"")"),"I do not have enough information to answer the query. I am missing the university name in the next row to determine its city.")</f>
        <v>I do not have enough information to answer the query. I am missing the university name in the next row to determine its city.</v>
      </c>
      <c r="D640" t="b">
        <v>0</v>
      </c>
      <c r="E640" t="b">
        <v>0</v>
      </c>
      <c r="G640" t="b">
        <v>0</v>
      </c>
      <c r="H640" t="b">
        <v>0</v>
      </c>
    </row>
    <row r="641">
      <c r="C641" t="str">
        <f>IFERROR(__xludf.DUMMYFUNCTION("AI(""The city of the university that is in the next row"")"),"I do not have enough information to answer the query. I am missing the university name in the next row (row 642) to determine its city.")</f>
        <v>I do not have enough information to answer the query. I am missing the university name in the next row (row 642) to determine its city.</v>
      </c>
      <c r="D641" t="b">
        <v>0</v>
      </c>
      <c r="E641" t="b">
        <v>0</v>
      </c>
      <c r="G641" t="b">
        <v>0</v>
      </c>
      <c r="H641" t="b">
        <v>0</v>
      </c>
    </row>
    <row r="642">
      <c r="C642" t="str">
        <f>IFERROR(__xludf.DUMMYFUNCTION("AI(""The city of the university that is in the next row"")"),"I do not have enough information to determine the city because the university name in the next row (row 643) is missing from the provided context. Please include the university name for the next row to get the correct city.")</f>
        <v>I do not have enough information to determine the city because the university name in the next row (row 643) is missing from the provided context. Please include the university name for the next row to get the correct city.</v>
      </c>
      <c r="D642" t="b">
        <v>0</v>
      </c>
      <c r="E642" t="b">
        <v>0</v>
      </c>
      <c r="G642" t="b">
        <v>0</v>
      </c>
      <c r="H642" t="b">
        <v>0</v>
      </c>
    </row>
    <row r="643">
      <c r="C643" t="str">
        <f>IFERROR(__xludf.DUMMYFUNCTION("AI(""The city of the university that is in the next row"")"),"=AI(""The city of the university that is in the next row"")")</f>
        <v>=AI("The city of the university that is in the next row")</v>
      </c>
      <c r="D643" t="b">
        <v>0</v>
      </c>
      <c r="E643" t="b">
        <v>0</v>
      </c>
      <c r="G643" t="b">
        <v>0</v>
      </c>
      <c r="H643" t="b">
        <v>0</v>
      </c>
    </row>
    <row r="644">
      <c r="C644" t="str">
        <f>IFERROR(__xludf.DUMMYFUNCTION("AI(""The city of the university that is in the next row"")"),"=AI(""The city of the university that is in the next row"")")</f>
        <v>=AI("The city of the university that is in the next row")</v>
      </c>
      <c r="D644" t="b">
        <v>0</v>
      </c>
      <c r="E644" t="b">
        <v>0</v>
      </c>
      <c r="G644" t="b">
        <v>0</v>
      </c>
      <c r="H644" t="b">
        <v>0</v>
      </c>
    </row>
    <row r="645">
      <c r="C645" t="str">
        <f>IFERROR(__xludf.DUMMYFUNCTION("AI(""The city of the university that is in the next row"")"),"I do not have enough information to answer the query. I am missing the university name for this row or the next row to determine its city.")</f>
        <v>I do not have enough information to answer the query. I am missing the university name for this row or the next row to determine its city.</v>
      </c>
      <c r="D645" t="b">
        <v>0</v>
      </c>
      <c r="E645" t="b">
        <v>0</v>
      </c>
      <c r="G645" t="b">
        <v>0</v>
      </c>
      <c r="H645" t="b">
        <v>0</v>
      </c>
    </row>
    <row r="646">
      <c r="C646" t="str">
        <f>IFERROR(__xludf.DUMMYFUNCTION("AI(""The city of the university that is in the next row"")"),"=AI(""The city of the university that is in the next row"")")</f>
        <v>=AI("The city of the university that is in the next row")</v>
      </c>
      <c r="D646" t="b">
        <v>0</v>
      </c>
      <c r="E646" t="b">
        <v>0</v>
      </c>
      <c r="G646" t="b">
        <v>0</v>
      </c>
      <c r="H646" t="b">
        <v>0</v>
      </c>
    </row>
    <row r="647">
      <c r="C647" t="str">
        <f>IFERROR(__xludf.DUMMYFUNCTION("AI(""The city of the university that is in the next row"")"),"I do not have enough information to answer the query. I am missing the university name in the next row (row 648) to determine its city.")</f>
        <v>I do not have enough information to answer the query. I am missing the university name in the next row (row 648) to determine its city.</v>
      </c>
      <c r="D647" t="b">
        <v>0</v>
      </c>
      <c r="E647" t="b">
        <v>0</v>
      </c>
      <c r="G647" t="b">
        <v>0</v>
      </c>
      <c r="H647" t="b">
        <v>0</v>
      </c>
    </row>
    <row r="648">
      <c r="C648" t="str">
        <f>IFERROR(__xludf.DUMMYFUNCTION("AI(""The city of the university that is in the next row"")"),"I do not have enough information to answer the query. I am missing the university name for the next row (row 649) to determine its city.")</f>
        <v>I do not have enough information to answer the query. I am missing the university name for the next row (row 649) to determine its city.</v>
      </c>
      <c r="D648" t="b">
        <v>0</v>
      </c>
      <c r="E648" t="b">
        <v>0</v>
      </c>
      <c r="G648" t="b">
        <v>0</v>
      </c>
      <c r="H648" t="b">
        <v>0</v>
      </c>
    </row>
    <row r="649">
      <c r="C649" t="str">
        <f>IFERROR(__xludf.DUMMYFUNCTION("AI(""The city of the university that is in the next row"")"),"I do not have enough information to provide the city because the university name for the next row (row 650) is not included in the provided spreadsheet context.")</f>
        <v>I do not have enough information to provide the city because the university name for the next row (row 650) is not included in the provided spreadsheet context.</v>
      </c>
      <c r="D649" t="b">
        <v>0</v>
      </c>
      <c r="E649" t="b">
        <v>0</v>
      </c>
      <c r="G649" t="b">
        <v>0</v>
      </c>
      <c r="H649" t="b">
        <v>0</v>
      </c>
    </row>
    <row r="650">
      <c r="C650" t="str">
        <f>IFERROR(__xludf.DUMMYFUNCTION("AI(""The city of the university that is in the next row"")"),"=AI(""The city of the university that is in the next row"")")</f>
        <v>=AI("The city of the university that is in the next row")</v>
      </c>
      <c r="D650" t="b">
        <v>0</v>
      </c>
      <c r="E650" t="b">
        <v>0</v>
      </c>
      <c r="G650" t="b">
        <v>0</v>
      </c>
      <c r="H650" t="b">
        <v>0</v>
      </c>
    </row>
    <row r="651">
      <c r="C651" t="str">
        <f>IFERROR(__xludf.DUMMYFUNCTION("AI(""The city of the university that is in the next row"")"),"=AI(""The city of the university that is in the next row"")")</f>
        <v>=AI("The city of the university that is in the next row")</v>
      </c>
      <c r="D651" t="b">
        <v>0</v>
      </c>
      <c r="E651" t="b">
        <v>0</v>
      </c>
      <c r="G651" t="b">
        <v>0</v>
      </c>
      <c r="H651" t="b">
        <v>0</v>
      </c>
    </row>
    <row r="652">
      <c r="C652" t="str">
        <f>IFERROR(__xludf.DUMMYFUNCTION("AI(""The city of the university that is in the next row"")"),"I do not have enough information to answer the query. I am missing the university name in the next row (row 653) to determine its city.")</f>
        <v>I do not have enough information to answer the query. I am missing the university name in the next row (row 653) to determine its city.</v>
      </c>
      <c r="D652" t="b">
        <v>0</v>
      </c>
      <c r="E652" t="b">
        <v>0</v>
      </c>
      <c r="G652" t="b">
        <v>0</v>
      </c>
      <c r="H652" t="b">
        <v>0</v>
      </c>
    </row>
    <row r="653">
      <c r="C653" t="str">
        <f>IFERROR(__xludf.DUMMYFUNCTION("AI(""The city of the university that is in the next row"")"),"=AI(""The city of the university that is in the next row"")")</f>
        <v>=AI("The city of the university that is in the next row")</v>
      </c>
      <c r="D653" t="b">
        <v>0</v>
      </c>
      <c r="E653" t="b">
        <v>0</v>
      </c>
      <c r="G653" t="b">
        <v>0</v>
      </c>
      <c r="H653" t="b">
        <v>0</v>
      </c>
    </row>
    <row r="654">
      <c r="C654" t="str">
        <f>IFERROR(__xludf.DUMMYFUNCTION("AI(""The city of the university that is in the next row"")"),"I do not have enough information to determine the city because the university name in the next row (row 655) is not provided in the spreadsheet context. Please ensure the university name is visible or included in the selection.")</f>
        <v>I do not have enough information to determine the city because the university name in the next row (row 655) is not provided in the spreadsheet context. Please ensure the university name is visible or included in the selection.</v>
      </c>
      <c r="D654" t="b">
        <v>0</v>
      </c>
      <c r="E654" t="b">
        <v>0</v>
      </c>
      <c r="G654" t="b">
        <v>0</v>
      </c>
      <c r="H654" t="b">
        <v>0</v>
      </c>
    </row>
    <row r="655">
      <c r="C655" t="str">
        <f>IFERROR(__xludf.DUMMYFUNCTION("AI(""The city of the university that is in the next row"")"),"=AI(""The city of the university that is in the next row"")")</f>
        <v>=AI("The city of the university that is in the next row")</v>
      </c>
      <c r="D655" t="b">
        <v>0</v>
      </c>
      <c r="E655" t="b">
        <v>0</v>
      </c>
      <c r="G655" t="b">
        <v>0</v>
      </c>
      <c r="H655" t="b">
        <v>0</v>
      </c>
    </row>
    <row r="656">
      <c r="C656" t="str">
        <f>IFERROR(__xludf.DUMMYFUNCTION("AI(""The city of the university that is in the next row"")"),"=AI(""The city of the university that is in the next row"")")</f>
        <v>=AI("The city of the university that is in the next row")</v>
      </c>
      <c r="D656" t="b">
        <v>0</v>
      </c>
      <c r="E656" t="b">
        <v>0</v>
      </c>
      <c r="G656" t="b">
        <v>0</v>
      </c>
      <c r="H656" t="b">
        <v>0</v>
      </c>
    </row>
    <row r="657">
      <c r="C657" t="str">
        <f>IFERROR(__xludf.DUMMYFUNCTION("AI(""The city of the university that is in the next row"")"),"=AI(""The city of the university that is in the next row"")")</f>
        <v>=AI("The city of the university that is in the next row")</v>
      </c>
      <c r="D657" t="b">
        <v>0</v>
      </c>
      <c r="E657" t="b">
        <v>0</v>
      </c>
      <c r="G657" t="b">
        <v>0</v>
      </c>
      <c r="H657" t="b">
        <v>0</v>
      </c>
    </row>
    <row r="658">
      <c r="C658" t="str">
        <f>IFERROR(__xludf.DUMMYFUNCTION("AI(""The city of the university that is in the next row"")"),"I do not have enough information to answer the query. The university name in row 659 is missing from the provided sheet context, so I cannot determine its city.")</f>
        <v>I do not have enough information to answer the query. The university name in row 659 is missing from the provided sheet context, so I cannot determine its city.</v>
      </c>
      <c r="D658" t="b">
        <v>0</v>
      </c>
      <c r="E658" t="b">
        <v>0</v>
      </c>
      <c r="G658" t="b">
        <v>0</v>
      </c>
      <c r="H658" t="b">
        <v>0</v>
      </c>
    </row>
    <row r="659">
      <c r="C659" t="str">
        <f>IFERROR(__xludf.DUMMYFUNCTION("AI(""The city of the university that is in the next row"")"),"I do not have enough information to determine the city because the university name for the next row is not provided in the spreadsheet context.")</f>
        <v>I do not have enough information to determine the city because the university name for the next row is not provided in the spreadsheet context.</v>
      </c>
      <c r="D659" t="b">
        <v>0</v>
      </c>
      <c r="E659" t="b">
        <v>0</v>
      </c>
      <c r="G659" t="b">
        <v>0</v>
      </c>
      <c r="H659" t="b">
        <v>0</v>
      </c>
    </row>
    <row r="660">
      <c r="C660" t="str">
        <f>IFERROR(__xludf.DUMMYFUNCTION("AI(""The city of the university that is in the next row"")"),"I do not have enough information to answer the query. I am missing the university name for this row (or the next row) to determine its city.")</f>
        <v>I do not have enough information to answer the query. I am missing the university name for this row (or the next row) to determine its city.</v>
      </c>
      <c r="D660" t="b">
        <v>0</v>
      </c>
      <c r="E660" t="b">
        <v>0</v>
      </c>
      <c r="G660" t="b">
        <v>0</v>
      </c>
      <c r="H660" t="b">
        <v>0</v>
      </c>
    </row>
    <row r="661">
      <c r="C661" t="str">
        <f>IFERROR(__xludf.DUMMYFUNCTION("AI(""The city of the university that is in the next row"")"),"I do not have enough information to answer the query. I am missing the university name in the next row (row 662) to determine its city.")</f>
        <v>I do not have enough information to answer the query. I am missing the university name in the next row (row 662) to determine its city.</v>
      </c>
      <c r="D661" t="b">
        <v>0</v>
      </c>
      <c r="E661" t="b">
        <v>0</v>
      </c>
      <c r="G661" t="b">
        <v>0</v>
      </c>
      <c r="H661" t="b">
        <v>0</v>
      </c>
    </row>
    <row r="662">
      <c r="C662" t="str">
        <f>IFERROR(__xludf.DUMMYFUNCTION("AI(""The city of the university that is in the next row"")"),"I do not have enough information to answer the query. I am missing the data for the university name in the next row (row 663) to determine its city.")</f>
        <v>I do not have enough information to answer the query. I am missing the data for the university name in the next row (row 663) to determine its city.</v>
      </c>
      <c r="D662" t="b">
        <v>0</v>
      </c>
      <c r="E662" t="b">
        <v>0</v>
      </c>
      <c r="G662" t="b">
        <v>0</v>
      </c>
      <c r="H662" t="b">
        <v>0</v>
      </c>
    </row>
    <row r="663">
      <c r="C663" t="str">
        <f>IFERROR(__xludf.DUMMYFUNCTION("AI(""The city of the university that is in the next row"")"),"I do not have enough information to answer the query because the spreadsheet data for the next row (row 664) is not provided in the context. Please include the university name for the next row to find its city.")</f>
        <v>I do not have enough information to answer the query because the spreadsheet data for the next row (row 664) is not provided in the context. Please include the university name for the next row to find its city.</v>
      </c>
      <c r="D663" t="b">
        <v>0</v>
      </c>
      <c r="E663" t="b">
        <v>0</v>
      </c>
      <c r="G663" t="b">
        <v>0</v>
      </c>
      <c r="H663" t="b">
        <v>0</v>
      </c>
    </row>
    <row r="664">
      <c r="C664" t="str">
        <f>IFERROR(__xludf.DUMMYFUNCTION("AI(""The city of the university that is in the next row"")"),"=AI(""The city of the university that is in the next row"")")</f>
        <v>=AI("The city of the university that is in the next row")</v>
      </c>
      <c r="D664" t="b">
        <v>0</v>
      </c>
      <c r="E664" t="b">
        <v>0</v>
      </c>
      <c r="G664" t="b">
        <v>0</v>
      </c>
      <c r="H664" t="b">
        <v>0</v>
      </c>
    </row>
    <row r="665">
      <c r="C665" t="str">
        <f>IFERROR(__xludf.DUMMYFUNCTION("AI(""The city of the university that is in the next row"")"),"I do not have enough information to answer the query. I am missing the name of the university in the next row to determine its city.")</f>
        <v>I do not have enough information to answer the query. I am missing the name of the university in the next row to determine its city.</v>
      </c>
      <c r="D665" t="b">
        <v>0</v>
      </c>
      <c r="E665" t="b">
        <v>0</v>
      </c>
      <c r="G665" t="b">
        <v>0</v>
      </c>
      <c r="H665" t="b">
        <v>0</v>
      </c>
    </row>
    <row r="666">
      <c r="C666" t="str">
        <f>IFERROR(__xludf.DUMMYFUNCTION("AI(""The city of the university that is in the next row"")"),"I do not have enough information to answer the query. I am missing the university name in the next row (row 667) to determine its city.")</f>
        <v>I do not have enough information to answer the query. I am missing the university name in the next row (row 667) to determine its city.</v>
      </c>
      <c r="D666" t="b">
        <v>0</v>
      </c>
      <c r="E666" t="b">
        <v>0</v>
      </c>
      <c r="G666" t="b">
        <v>0</v>
      </c>
      <c r="H666" t="b">
        <v>0</v>
      </c>
    </row>
    <row r="667">
      <c r="C667" t="str">
        <f>IFERROR(__xludf.DUMMYFUNCTION("AI(""The city of the university that is in the next row"")"),"I do not have enough information to answer the query because the spreadsheet context does not include the university name for the next row (row 668).")</f>
        <v>I do not have enough information to answer the query because the spreadsheet context does not include the university name for the next row (row 668).</v>
      </c>
      <c r="D667" t="b">
        <v>0</v>
      </c>
      <c r="E667" t="b">
        <v>0</v>
      </c>
      <c r="G667" t="b">
        <v>0</v>
      </c>
      <c r="H667" t="b">
        <v>0</v>
      </c>
    </row>
    <row r="668">
      <c r="C668" t="str">
        <f>IFERROR(__xludf.DUMMYFUNCTION("AI(""The city of the university that is in the next row"")"),"I do not have enough information to answer the query. I am missing the data for the next row (row 669) to determine the university name and its corresponding city.")</f>
        <v>I do not have enough information to answer the query. I am missing the data for the next row (row 669) to determine the university name and its corresponding city.</v>
      </c>
      <c r="D668" t="b">
        <v>0</v>
      </c>
      <c r="E668" t="b">
        <v>0</v>
      </c>
      <c r="G668" t="b">
        <v>0</v>
      </c>
      <c r="H668" t="b">
        <v>0</v>
      </c>
    </row>
    <row r="669">
      <c r="C669" t="str">
        <f>IFERROR(__xludf.DUMMYFUNCTION("AI(""The city of the university that is in the next row"")"),"I do not have enough information to determine the city because the university name in the next row is not visible in the provided context.")</f>
        <v>I do not have enough information to determine the city because the university name in the next row is not visible in the provided context.</v>
      </c>
      <c r="D669" t="b">
        <v>0</v>
      </c>
      <c r="E669" t="b">
        <v>0</v>
      </c>
      <c r="G669" t="b">
        <v>0</v>
      </c>
      <c r="H669" t="b">
        <v>0</v>
      </c>
    </row>
    <row r="670">
      <c r="C670" t="str">
        <f>IFERROR(__xludf.DUMMYFUNCTION("AI(""The city of the university that is in the next row"")"),"I do not have enough information to determine the city because the university name in the next row (row 671) is missing from the provided context.")</f>
        <v>I do not have enough information to determine the city because the university name in the next row (row 671) is missing from the provided context.</v>
      </c>
      <c r="D670" t="b">
        <v>0</v>
      </c>
      <c r="E670" t="b">
        <v>0</v>
      </c>
      <c r="G670" t="b">
        <v>0</v>
      </c>
      <c r="H670" t="b">
        <v>0</v>
      </c>
    </row>
    <row r="671">
      <c r="C671" t="str">
        <f>IFERROR(__xludf.DUMMYFUNCTION("AI(""The city of the university that is in the next row"")"),"I do not have enough information to answer the query. I am missing the university name in the next row (row 672) to determine its city.")</f>
        <v>I do not have enough information to answer the query. I am missing the university name in the next row (row 672) to determine its city.</v>
      </c>
      <c r="D671" t="b">
        <v>0</v>
      </c>
      <c r="E671" t="b">
        <v>0</v>
      </c>
      <c r="G671" t="b">
        <v>0</v>
      </c>
      <c r="H671" t="b">
        <v>0</v>
      </c>
    </row>
    <row r="672">
      <c r="C672" t="str">
        <f>IFERROR(__xludf.DUMMYFUNCTION("AI(""The city of the university that is in the next row"")"),"=AI(""The city of the university that is in the next row"")")</f>
        <v>=AI("The city of the university that is in the next row")</v>
      </c>
      <c r="D672" t="b">
        <v>0</v>
      </c>
      <c r="E672" t="b">
        <v>0</v>
      </c>
      <c r="G672" t="b">
        <v>0</v>
      </c>
      <c r="H672" t="b">
        <v>0</v>
      </c>
    </row>
    <row r="673">
      <c r="C673" t="str">
        <f>IFERROR(__xludf.DUMMYFUNCTION("AI(""The city of the university that is in the next row"")"),"I do not have enough information to answer the query. I am missing the university name in the row to determine its city.")</f>
        <v>I do not have enough information to answer the query. I am missing the university name in the row to determine its city.</v>
      </c>
      <c r="D673" t="b">
        <v>0</v>
      </c>
      <c r="E673" t="b">
        <v>0</v>
      </c>
      <c r="G673" t="b">
        <v>0</v>
      </c>
      <c r="H673" t="b">
        <v>0</v>
      </c>
    </row>
    <row r="674">
      <c r="C674" t="str">
        <f>IFERROR(__xludf.DUMMYFUNCTION("AI(""The city of the university that is in the next row"")"),"I do not have enough information to answer the query, as the spreadsheet data for the subsequent rows (including row 675) is not provided in the context.")</f>
        <v>I do not have enough information to answer the query, as the spreadsheet data for the subsequent rows (including row 675) is not provided in the context.</v>
      </c>
      <c r="D674" t="b">
        <v>0</v>
      </c>
      <c r="E674" t="b">
        <v>0</v>
      </c>
      <c r="G674" t="b">
        <v>0</v>
      </c>
      <c r="H674" t="b">
        <v>0</v>
      </c>
    </row>
    <row r="675">
      <c r="C675" t="str">
        <f>IFERROR(__xludf.DUMMYFUNCTION("AI(""The city of the university that is in the next row"")"),"I do not have enough information to answer the query. I am missing the university name for this row to determine its city.")</f>
        <v>I do not have enough information to answer the query. I am missing the university name for this row to determine its city.</v>
      </c>
      <c r="D675" t="b">
        <v>0</v>
      </c>
      <c r="E675" t="b">
        <v>0</v>
      </c>
      <c r="G675" t="b">
        <v>0</v>
      </c>
      <c r="H675" t="b">
        <v>0</v>
      </c>
    </row>
    <row r="676">
      <c r="C676" t="str">
        <f>IFERROR(__xludf.DUMMYFUNCTION("AI(""The city of the university that is in the next row"")"),"I do not have enough information to answer the query. I am missing the university name in the subsequent row to determine its city.")</f>
        <v>I do not have enough information to answer the query. I am missing the university name in the subsequent row to determine its city.</v>
      </c>
      <c r="D676" t="b">
        <v>0</v>
      </c>
      <c r="E676" t="b">
        <v>0</v>
      </c>
      <c r="G676" t="b">
        <v>0</v>
      </c>
      <c r="H676" t="b">
        <v>0</v>
      </c>
    </row>
    <row r="677">
      <c r="C677" t="str">
        <f>IFERROR(__xludf.DUMMYFUNCTION("AI(""The city of the university that is in the next row"")"),"I do not have enough information to answer the query. I am missing the name of the university for this row or the next row to determine its city.")</f>
        <v>I do not have enough information to answer the query. I am missing the name of the university for this row or the next row to determine its city.</v>
      </c>
      <c r="D677" t="b">
        <v>0</v>
      </c>
      <c r="E677" t="b">
        <v>0</v>
      </c>
      <c r="G677" t="b">
        <v>0</v>
      </c>
      <c r="H677" t="b">
        <v>0</v>
      </c>
    </row>
    <row r="678">
      <c r="C678" t="str">
        <f>IFERROR(__xludf.DUMMYFUNCTION("AI(""The city of the university that is in the next row"")"),"I do not have enough information to provide the city because the university name in the next row is not included in the spreadsheet context.")</f>
        <v>I do not have enough information to provide the city because the university name in the next row is not included in the spreadsheet context.</v>
      </c>
      <c r="D678" t="b">
        <v>0</v>
      </c>
      <c r="E678" t="b">
        <v>0</v>
      </c>
      <c r="G678" t="b">
        <v>0</v>
      </c>
      <c r="H678" t="b">
        <v>0</v>
      </c>
    </row>
    <row r="679">
      <c r="C679" t="str">
        <f>IFERROR(__xludf.DUMMYFUNCTION("AI(""The city of the university that is in the next row"")"),"=AI(""The city of the university that is in the next row"")")</f>
        <v>=AI("The city of the university that is in the next row")</v>
      </c>
      <c r="D679" t="b">
        <v>0</v>
      </c>
      <c r="E679" t="b">
        <v>0</v>
      </c>
      <c r="G679" t="b">
        <v>0</v>
      </c>
      <c r="H679" t="b">
        <v>0</v>
      </c>
    </row>
    <row r="680">
      <c r="C680" t="str">
        <f>IFERROR(__xludf.DUMMYFUNCTION("AI(""The city of the university that is in the next row"")"),"I do not have enough information to answer the query. I am missing the university name in the next row (row 681) to determine its city.")</f>
        <v>I do not have enough information to answer the query. I am missing the university name in the next row (row 681) to determine its city.</v>
      </c>
      <c r="D680" t="b">
        <v>0</v>
      </c>
      <c r="E680" t="b">
        <v>0</v>
      </c>
      <c r="G680" t="b">
        <v>0</v>
      </c>
      <c r="H680" t="b">
        <v>0</v>
      </c>
    </row>
    <row r="681">
      <c r="C681" t="str">
        <f>IFERROR(__xludf.DUMMYFUNCTION("AI(""The city of the university that is in the next row"")"),"I do not have enough information to answer the query. I am missing the university name for this row or the subsequent row to determine the correct city.")</f>
        <v>I do not have enough information to answer the query. I am missing the university name for this row or the subsequent row to determine the correct city.</v>
      </c>
      <c r="D681" t="b">
        <v>0</v>
      </c>
      <c r="E681" t="b">
        <v>0</v>
      </c>
      <c r="G681" t="b">
        <v>0</v>
      </c>
      <c r="H681" t="b">
        <v>0</v>
      </c>
    </row>
    <row r="682">
      <c r="C682" t="str">
        <f>IFERROR(__xludf.DUMMYFUNCTION("AI(""The city of the university that is in the next row"")"),"=AI(""The city of the university that is in the next row"")")</f>
        <v>=AI("The city of the university that is in the next row")</v>
      </c>
      <c r="D682" t="b">
        <v>0</v>
      </c>
      <c r="E682" t="b">
        <v>0</v>
      </c>
      <c r="G682" t="b">
        <v>0</v>
      </c>
      <c r="H682" t="b">
        <v>0</v>
      </c>
    </row>
    <row r="683">
      <c r="C683" t="str">
        <f>IFERROR(__xludf.DUMMYFUNCTION("AI(""The city of the university that is in the next row"")"),"I do not have enough information to answer the query. I am missing the university name for this row to determine its city.")</f>
        <v>I do not have enough information to answer the query. I am missing the university name for this row to determine its city.</v>
      </c>
      <c r="D683" t="b">
        <v>0</v>
      </c>
      <c r="E683" t="b">
        <v>0</v>
      </c>
      <c r="G683" t="b">
        <v>0</v>
      </c>
      <c r="H683" t="b">
        <v>0</v>
      </c>
    </row>
    <row r="684">
      <c r="C684" t="str">
        <f>IFERROR(__xludf.DUMMYFUNCTION("AI(""The city of the university that is in the next row"")"),"I do not have enough information to provide the city. I am missing the university name for this row or the subsequent row to determine its location.")</f>
        <v>I do not have enough information to provide the city. I am missing the university name for this row or the subsequent row to determine its location.</v>
      </c>
      <c r="D684" t="b">
        <v>0</v>
      </c>
      <c r="E684" t="b">
        <v>0</v>
      </c>
      <c r="G684" t="b">
        <v>0</v>
      </c>
      <c r="H684" t="b">
        <v>0</v>
      </c>
    </row>
    <row r="685">
      <c r="C685" t="str">
        <f>IFERROR(__xludf.DUMMYFUNCTION("AI(""The city of the university that is in the next row"")"),"=AI(""The city of the university that is in the next row"")")</f>
        <v>=AI("The city of the university that is in the next row")</v>
      </c>
      <c r="D685" t="b">
        <v>0</v>
      </c>
      <c r="E685" t="b">
        <v>0</v>
      </c>
      <c r="G685" t="b">
        <v>0</v>
      </c>
      <c r="H685" t="b">
        <v>0</v>
      </c>
    </row>
    <row r="686">
      <c r="C686" t="str">
        <f>IFERROR(__xludf.DUMMYFUNCTION("AI(""The city of the university that is in the next row"")"),"I do not have enough information to answer the query. The university name for the next row is missing from the spreadsheet context.")</f>
        <v>I do not have enough information to answer the query. The university name for the next row is missing from the spreadsheet context.</v>
      </c>
      <c r="D686" t="b">
        <v>0</v>
      </c>
      <c r="E686" t="b">
        <v>0</v>
      </c>
      <c r="G686" t="b">
        <v>0</v>
      </c>
      <c r="H686" t="b">
        <v>0</v>
      </c>
    </row>
    <row r="687">
      <c r="C687" t="str">
        <f>IFERROR(__xludf.DUMMYFUNCTION("AI(""The city of the university that is in the next row"")"),"I do not have enough information to answer the query. I am missing the university name in the next row to determine its city.")</f>
        <v>I do not have enough information to answer the query. I am missing the university name in the next row to determine its city.</v>
      </c>
      <c r="D687" t="b">
        <v>0</v>
      </c>
      <c r="E687" t="b">
        <v>0</v>
      </c>
      <c r="G687" t="b">
        <v>0</v>
      </c>
      <c r="H687" t="b">
        <v>0</v>
      </c>
    </row>
  </sheetData>
  <hyperlinks>
    <hyperlink ref="F3" r:id="rId1"/>
    <hyperlink ref="F6" r:id="rId2"/>
    <hyperlink ref="F12" r:id="rId3"/>
    <hyperlink ref="F15" r:id="rId4"/>
    <hyperlink ref="F16" r:id="rId5"/>
    <hyperlink ref="F17" r:id="rId6"/>
    <hyperlink ref="F18" r:id="rId7"/>
    <hyperlink ref="J18" r:id="rId8"/>
    <hyperlink ref="F19" r:id="rId9"/>
    <hyperlink ref="F20" r:id="rId10"/>
    <hyperlink ref="F26" r:id="rId11"/>
    <hyperlink ref="F28" r:id="rId12"/>
    <hyperlink ref="F30" r:id="rId13"/>
    <hyperlink ref="F33" r:id="rId14"/>
    <hyperlink ref="F35" r:id="rId15"/>
    <hyperlink ref="J35" r:id="rId16" location="search/employerservices%40cardiff.ac.uk/FMfcgzQgMgMjvKDlQlxfzcqMqLnQrMQf?projector=1&amp;messagePartId=0.1"/>
  </hyperlinks>
  <ignoredErrors>
    <ignoredError numberStoredAsText="1" sqref="A1:J687"/>
  </ignoredErrors>
</worksheet>
</file>

<file path=xl/worksheets/sheet8.xml><?xml version="1.0" encoding="utf-8"?>
<worksheet xmlns="http://schemas.openxmlformats.org/spreadsheetml/2006/main" xmlns:r="http://schemas.openxmlformats.org/officeDocument/2006/relationships">
  <dimension ref="A1:J998"/>
  <sheetViews>
    <sheetView workbookViewId="0" rightToLeft="0"/>
  </sheetViews>
  <sheetData>
    <row r="1">
      <c r="A1" t="str">
        <v>POREmailContact</v>
      </c>
      <c r="B1" t="str">
        <v>PORUniversityName</v>
      </c>
      <c r="C1" t="str">
        <v>City</v>
      </c>
      <c r="D1" t="str">
        <v>Interested?</v>
      </c>
      <c r="E1" t="str">
        <v>Gereageerd?</v>
      </c>
      <c r="F1" t="str">
        <v>Link to career portal</v>
      </c>
      <c r="G1" t="str">
        <v>Career Portal Sign Up</v>
      </c>
      <c r="H1" t="str">
        <v>On board?</v>
      </c>
      <c r="I1" t="str">
        <v>Renewal Date</v>
      </c>
      <c r="J1" t="str">
        <v>Notes</v>
      </c>
    </row>
    <row r="2">
      <c r="A2" t="str">
        <v>E.reitoria@ulisboa.pt</v>
      </c>
      <c r="B2" t="str">
        <v>universidade de lisboa</v>
      </c>
      <c r="C2" t="str">
        <v>Lissabon</v>
      </c>
      <c r="D2" t="b">
        <v>0</v>
      </c>
      <c r="E2" t="b">
        <v>0</v>
      </c>
      <c r="G2" t="b">
        <v>0</v>
      </c>
      <c r="H2" t="b">
        <v>0</v>
      </c>
      <c r="J2" t="str">
        <v>Verkeerde mail</v>
      </c>
    </row>
    <row r="3">
      <c r="A3" t="str">
        <v>dri@uc.pt</v>
      </c>
      <c r="B3" t="str">
        <v>Universidade de Coimbria</v>
      </c>
      <c r="C3" t="str">
        <v>Coimbria</v>
      </c>
      <c r="D3" t="b">
        <v>0</v>
      </c>
      <c r="E3" t="b">
        <v>0</v>
      </c>
      <c r="G3" t="b">
        <v>0</v>
      </c>
      <c r="H3" t="b">
        <v>0</v>
      </c>
    </row>
    <row r="4">
      <c r="A4" t="str">
        <v>geral@esht.ipp.pt</v>
      </c>
      <c r="B4" t="str">
        <v>P.Porto</v>
      </c>
      <c r="C4" t="str">
        <v>Porto</v>
      </c>
      <c r="D4" t="b">
        <v>0</v>
      </c>
      <c r="E4" t="b">
        <v>0</v>
      </c>
      <c r="G4" t="b">
        <v>0</v>
      </c>
      <c r="H4" t="b">
        <v>0</v>
      </c>
    </row>
    <row r="5">
      <c r="A5" t="str">
        <v>geral@iscte.pt</v>
      </c>
      <c r="B5" t="str">
        <v>University Institute of Lisbon</v>
      </c>
      <c r="C5" t="str">
        <v>Lissabon</v>
      </c>
      <c r="D5" t="b">
        <v>0</v>
      </c>
      <c r="E5" t="b">
        <v>0</v>
      </c>
      <c r="G5" t="b">
        <v>0</v>
      </c>
      <c r="H5" t="b">
        <v>0</v>
      </c>
    </row>
    <row r="6">
      <c r="A6" t="str">
        <v>formacao@turismodeportugal.pt</v>
      </c>
      <c r="B6" t="str">
        <v>Turismo de Portugal Escolas</v>
      </c>
      <c r="C6" t="str">
        <v>Porto/Algarve</v>
      </c>
      <c r="D6" t="b">
        <v>0</v>
      </c>
      <c r="E6" t="b">
        <v>0</v>
      </c>
      <c r="G6" t="b">
        <v>0</v>
      </c>
      <c r="H6" t="b">
        <v>0</v>
      </c>
    </row>
    <row r="7">
      <c r="A7" t="str">
        <v>cdi@pbs.up.pt</v>
      </c>
      <c r="B7" t="str">
        <v>Porto Business School</v>
      </c>
      <c r="C7" t="str">
        <v>Porto</v>
      </c>
      <c r="D7" t="b">
        <v>0</v>
      </c>
      <c r="E7" t="b">
        <v>0</v>
      </c>
      <c r="G7" t="b">
        <v>0</v>
      </c>
      <c r="H7" t="b">
        <v>0</v>
      </c>
    </row>
    <row r="8">
      <c r="A8" t="str">
        <v>info@ualg.pt</v>
      </c>
      <c r="B8" t="str">
        <v>UAlg Universidad do Algarve</v>
      </c>
      <c r="C8" t="str">
        <v>Algarve</v>
      </c>
      <c r="D8" t="b">
        <v>0</v>
      </c>
      <c r="E8" t="b">
        <v>0</v>
      </c>
      <c r="G8" t="b">
        <v>0</v>
      </c>
      <c r="H8" t="b">
        <v>0</v>
      </c>
    </row>
    <row r="9">
      <c r="A9" t="str">
        <v>gcri@uab.pt</v>
      </c>
      <c r="B9" t="str">
        <v>Universidade Aberta</v>
      </c>
      <c r="C9" t="str">
        <v>Aberta</v>
      </c>
      <c r="D9" t="b">
        <v>0</v>
      </c>
      <c r="E9" t="b">
        <v>0</v>
      </c>
      <c r="G9" t="b">
        <v>0</v>
      </c>
      <c r="H9" t="b">
        <v>0</v>
      </c>
    </row>
    <row r="10">
      <c r="A10" t="str">
        <v>international@ua.pt</v>
      </c>
      <c r="B10" t="str">
        <v>Universidade de Aveiro</v>
      </c>
      <c r="C10" t="str">
        <v>Aveiro</v>
      </c>
      <c r="D10" t="b">
        <v>0</v>
      </c>
      <c r="E10" t="b">
        <v>0</v>
      </c>
      <c r="G10" t="b">
        <v>0</v>
      </c>
      <c r="H10" t="b">
        <v>0</v>
      </c>
    </row>
    <row r="11">
      <c r="A11" t="str">
        <v>gcii@reitoria.uminho.pt</v>
      </c>
      <c r="B11" t="str">
        <v>Unversidade de Minho</v>
      </c>
      <c r="C11" t="str">
        <v>Minho</v>
      </c>
      <c r="D11" t="b">
        <v>0</v>
      </c>
      <c r="E11" t="b">
        <v>0</v>
      </c>
      <c r="G11" t="b">
        <v>0</v>
      </c>
      <c r="H11" t="b">
        <v>0</v>
      </c>
    </row>
    <row r="12">
      <c r="A12" t="str">
        <v>gri@fundacaofernandopessoa.pt</v>
      </c>
      <c r="B12" t="str">
        <v>University Fernando Pessoa</v>
      </c>
      <c r="C12" t="str">
        <v>Porto</v>
      </c>
      <c r="D12" t="b">
        <v>0</v>
      </c>
      <c r="E12" t="b">
        <v>0</v>
      </c>
      <c r="G12" t="b">
        <v>0</v>
      </c>
      <c r="H12" t="b">
        <v>0</v>
      </c>
    </row>
    <row r="13">
      <c r="A13" t="str">
        <v>international.porto@ucp.pt</v>
      </c>
      <c r="B13" t="str">
        <v>Católica Porto Business School</v>
      </c>
      <c r="C13" t="str">
        <v>Porto</v>
      </c>
      <c r="D13" t="b">
        <v>0</v>
      </c>
      <c r="E13" t="b">
        <v>0</v>
      </c>
      <c r="G13" t="b">
        <v>0</v>
      </c>
      <c r="H13" t="b">
        <v>0</v>
      </c>
    </row>
    <row r="14">
      <c r="A14" t="str">
        <v>uevora@uevora.pt</v>
      </c>
      <c r="B14" t="str">
        <v>Universidade de Évora</v>
      </c>
      <c r="C14" t="str">
        <v>Evora</v>
      </c>
      <c r="D14" t="b">
        <v>0</v>
      </c>
      <c r="E14" t="b">
        <v>0</v>
      </c>
      <c r="G14" t="b">
        <v>0</v>
      </c>
      <c r="H14" t="b">
        <v>0</v>
      </c>
    </row>
    <row r="15">
      <c r="A15" t="str">
        <v>ero@uac.pt</v>
      </c>
      <c r="B15" t="str">
        <v>Universidade dos Acores</v>
      </c>
      <c r="C15" t="str">
        <v>Acores</v>
      </c>
      <c r="D15" t="b">
        <v>0</v>
      </c>
      <c r="E15" t="b">
        <v>0</v>
      </c>
      <c r="G15" t="b">
        <v>0</v>
      </c>
      <c r="H15" t="b">
        <v>0</v>
      </c>
    </row>
    <row r="16">
      <c r="A16" t="str">
        <v>info.cul@ulusofona.pt</v>
      </c>
      <c r="B16" t="str">
        <v>Universidade de Lusófona</v>
      </c>
      <c r="C16" t="str">
        <v>Lissabon</v>
      </c>
      <c r="D16" t="b">
        <v>0</v>
      </c>
      <c r="E16" t="b">
        <v>0</v>
      </c>
      <c r="G16" t="b">
        <v>0</v>
      </c>
      <c r="H16" t="b">
        <v>0</v>
      </c>
    </row>
    <row r="17">
      <c r="A17" t="str">
        <v>gabinete@reitoria.uma.pt</v>
      </c>
      <c r="B17" t="str">
        <v>Universidade de Madeira</v>
      </c>
      <c r="C17" t="str">
        <v>Madeira</v>
      </c>
      <c r="D17" t="b">
        <v>0</v>
      </c>
      <c r="E17" t="b">
        <v>0</v>
      </c>
      <c r="G17" t="b">
        <v>0</v>
      </c>
      <c r="H17" t="b">
        <v>0</v>
      </c>
    </row>
    <row r="18">
      <c r="A18" t="str">
        <v>admissions@thelisbonmba.com</v>
      </c>
      <c r="B18" t="str">
        <v>The Lisbon MBA</v>
      </c>
      <c r="C18" t="str">
        <v>Lissabon</v>
      </c>
      <c r="D18" t="b">
        <v>0</v>
      </c>
      <c r="E18" t="b">
        <v>0</v>
      </c>
      <c r="G18" t="b">
        <v>0</v>
      </c>
      <c r="H18" t="b">
        <v>0</v>
      </c>
    </row>
    <row r="19">
      <c r="A19" t="str">
        <v>iscet@iscet.pt</v>
      </c>
      <c r="B19" t="str">
        <v>ISCET</v>
      </c>
      <c r="C19" t="str">
        <v>Porto</v>
      </c>
      <c r="D19" t="b">
        <v>0</v>
      </c>
      <c r="E19" t="b">
        <v>0</v>
      </c>
      <c r="G19" t="b">
        <v>0</v>
      </c>
      <c r="H19" t="b">
        <v>0</v>
      </c>
    </row>
    <row r="20">
      <c r="A20" t="str">
        <v>international.agreements@reitoria.unl.pt</v>
      </c>
      <c r="B20" t="str">
        <v xml:space="preserve">Universidade Nova de Lisboa </v>
      </c>
      <c r="C20" t="str">
        <v>Lisboa</v>
      </c>
      <c r="D20" t="b">
        <v>0</v>
      </c>
      <c r="E20" t="b">
        <v>0</v>
      </c>
      <c r="G20" t="b">
        <v>0</v>
      </c>
      <c r="H20" t="b">
        <v>0</v>
      </c>
    </row>
    <row r="21">
      <c r="A21" t="str">
        <v>ri@upt.pt</v>
      </c>
      <c r="B21" t="str">
        <v>Universidade Portucalense</v>
      </c>
      <c r="C21" t="str">
        <v>Porto</v>
      </c>
      <c r="D21" t="b">
        <v>0</v>
      </c>
      <c r="E21" t="b">
        <v>0</v>
      </c>
      <c r="G21" t="b">
        <v>0</v>
      </c>
      <c r="H21" t="b">
        <v>0</v>
      </c>
    </row>
    <row r="22">
      <c r="A22" t="str">
        <v>ana.boaventura@ipleiria.pt</v>
      </c>
      <c r="B22" t="str">
        <v>Instituto Politécnico de Leiria</v>
      </c>
      <c r="C22" t="str">
        <v>Leiria</v>
      </c>
      <c r="D22" t="b">
        <v>0</v>
      </c>
      <c r="E22" t="b">
        <v>0</v>
      </c>
      <c r="G22" t="b">
        <v>0</v>
      </c>
      <c r="H22" t="b">
        <v>0</v>
      </c>
    </row>
    <row r="23">
      <c r="D23" t="b">
        <v>0</v>
      </c>
      <c r="E23" t="b">
        <v>0</v>
      </c>
      <c r="G23" t="b">
        <v>0</v>
      </c>
      <c r="H23" t="b">
        <v>0</v>
      </c>
    </row>
    <row r="24">
      <c r="D24" t="b">
        <v>0</v>
      </c>
      <c r="E24" t="b">
        <v>0</v>
      </c>
      <c r="G24" t="b">
        <v>0</v>
      </c>
      <c r="H24" t="b">
        <v>0</v>
      </c>
    </row>
    <row r="25">
      <c r="D25" t="b">
        <v>0</v>
      </c>
      <c r="E25" t="b">
        <v>0</v>
      </c>
      <c r="G25" t="b">
        <v>0</v>
      </c>
      <c r="H25" t="b">
        <v>0</v>
      </c>
    </row>
    <row r="26">
      <c r="D26" t="b">
        <v>0</v>
      </c>
      <c r="E26" t="b">
        <v>0</v>
      </c>
      <c r="G26" t="b">
        <v>0</v>
      </c>
      <c r="H26" t="b">
        <v>0</v>
      </c>
    </row>
    <row r="27">
      <c r="D27" t="b">
        <v>0</v>
      </c>
      <c r="E27" t="b">
        <v>0</v>
      </c>
      <c r="G27" t="b">
        <v>0</v>
      </c>
      <c r="H27" t="b">
        <v>0</v>
      </c>
    </row>
  </sheetData>
  <ignoredErrors>
    <ignoredError numberStoredAsText="1" sqref="A1:J998"/>
  </ignoredErrors>
</worksheet>
</file>

<file path=xl/worksheets/sheet9.xml><?xml version="1.0" encoding="utf-8"?>
<worksheet xmlns="http://schemas.openxmlformats.org/spreadsheetml/2006/main" xmlns:r="http://schemas.openxmlformats.org/officeDocument/2006/relationships">
  <dimension ref="A1:J998"/>
  <sheetViews>
    <sheetView workbookViewId="0" rightToLeft="0"/>
  </sheetViews>
  <sheetData>
    <row r="1">
      <c r="A1" t="str">
        <v>ESEmailContact</v>
      </c>
      <c r="B1" t="str">
        <v>ESUniversityName</v>
      </c>
      <c r="C1" t="str">
        <v>City</v>
      </c>
      <c r="D1" t="str">
        <v>Interested?</v>
      </c>
      <c r="E1" t="str">
        <v>Gereageerd?</v>
      </c>
      <c r="F1" t="str">
        <v>Link to career portal</v>
      </c>
      <c r="G1" t="str">
        <v>Career Portal Sign Up</v>
      </c>
      <c r="H1" t="str">
        <v>On board?</v>
      </c>
      <c r="I1" t="str">
        <v>Renewal Date</v>
      </c>
      <c r="J1" t="str">
        <v>Notes</v>
      </c>
    </row>
    <row r="2">
      <c r="A2" t="str">
        <v>practiques@urv.cat</v>
      </c>
      <c r="B2" t="str">
        <v>Universitat Rovira i Virgili</v>
      </c>
      <c r="C2" t="str">
        <v>Tarragona</v>
      </c>
      <c r="D2" t="b">
        <v>0</v>
      </c>
      <c r="E2" t="b">
        <v>0</v>
      </c>
      <c r="G2" t="b">
        <v>0</v>
      </c>
      <c r="H2" t="b">
        <v>0</v>
      </c>
    </row>
    <row r="3">
      <c r="A3" t="str">
        <v>ealvarep@nebrija.es</v>
      </c>
      <c r="B3" t="str">
        <v>Universidad Nabrija</v>
      </c>
      <c r="C3" t="str">
        <v>Nabrija</v>
      </c>
      <c r="D3" t="b">
        <v>0</v>
      </c>
      <c r="E3" t="b">
        <v>0</v>
      </c>
      <c r="G3" t="b">
        <v>0</v>
      </c>
      <c r="H3" t="b">
        <v>0</v>
      </c>
      <c r="J3" t="str">
        <v>verkeerde email</v>
      </c>
    </row>
    <row r="4">
      <c r="A4" t="str">
        <v>dpo@uib.es</v>
      </c>
      <c r="B4" t="str">
        <v>universitat de Les Illes Balears</v>
      </c>
      <c r="C4" t="str">
        <v>Palma de Mallorca</v>
      </c>
      <c r="D4" t="b">
        <v>0</v>
      </c>
      <c r="E4" t="b">
        <v>0</v>
      </c>
      <c r="G4" t="b">
        <v>0</v>
      </c>
      <c r="H4" t="b">
        <v>0</v>
      </c>
    </row>
    <row r="5">
      <c r="A5" t="str">
        <v>relacions.internacionals@uv.es</v>
      </c>
      <c r="B5" t="str">
        <v>Universitat de Valencia</v>
      </c>
      <c r="C5" t="str">
        <v>Valencia</v>
      </c>
      <c r="D5" t="b">
        <v>0</v>
      </c>
      <c r="E5" t="b">
        <v>0</v>
      </c>
      <c r="G5" t="b">
        <v>0</v>
      </c>
      <c r="H5" t="b">
        <v>0</v>
      </c>
    </row>
    <row r="6">
      <c r="A6" t="str">
        <v>marqueting@ub.edu</v>
      </c>
      <c r="B6" t="str">
        <v>Universitat de Barcalona</v>
      </c>
      <c r="C6" t="str">
        <v>Barcalona</v>
      </c>
      <c r="D6" t="b">
        <v>0</v>
      </c>
      <c r="E6" t="b">
        <v>0</v>
      </c>
      <c r="G6" t="b">
        <v>0</v>
      </c>
      <c r="H6" t="b">
        <v>0</v>
      </c>
    </row>
    <row r="7" xml:space="preserve">
      <c r="A7" t="str">
        <v>international@iqs.url.edu</v>
      </c>
      <c r="B7" t="str">
        <v>IQS Universitat Ramon Llull</v>
      </c>
      <c r="C7" t="str">
        <v>Barcalona</v>
      </c>
      <c r="D7" t="b">
        <v>1</v>
      </c>
      <c r="E7" t="b">
        <v>0</v>
      </c>
      <c r="F7" t="str" xml:space="preserve">
        <v xml:space="preserve">https://iqs.tfaforms.net/4877384
https://iqs-edu.force.com/Careers/s/login/</v>
      </c>
      <c r="G7" t="b">
        <v>1</v>
      </c>
      <c r="H7" t="b">
        <v>0</v>
      </c>
      <c r="J7" t="str">
        <v>Email Judit with detail description after career portal set up</v>
      </c>
    </row>
    <row r="8">
      <c r="A8" t="str">
        <v>informacion.general@uam.es</v>
      </c>
      <c r="B8" t="str">
        <v>Universidad Autónoma de Madrid</v>
      </c>
      <c r="C8" t="str">
        <v>Madrid</v>
      </c>
      <c r="D8" t="b">
        <v>0</v>
      </c>
      <c r="E8" t="b">
        <v>0</v>
      </c>
      <c r="G8" t="b">
        <v>0</v>
      </c>
      <c r="H8" t="b">
        <v>0</v>
      </c>
    </row>
    <row r="9">
      <c r="A9" t="str">
        <v>infocom@ucm.es</v>
      </c>
      <c r="B9" t="str">
        <v>Universidad Complutense de Madrid</v>
      </c>
      <c r="C9" t="str">
        <v>Madrid</v>
      </c>
      <c r="D9" t="b">
        <v>0</v>
      </c>
      <c r="E9" t="b">
        <v>1</v>
      </c>
      <c r="F9" t="str">
        <v>Even de mail goed lezen hoe je je kan aanmelden</v>
      </c>
      <c r="G9" t="b">
        <v>0</v>
      </c>
      <c r="H9" t="b">
        <v>0</v>
      </c>
    </row>
    <row r="10">
      <c r="A10" t="str">
        <v>erasmus.incoming@uah.es</v>
      </c>
      <c r="B10" t="str">
        <v>Universidad de Alcalá</v>
      </c>
      <c r="C10" t="str">
        <v>Alcalá</v>
      </c>
      <c r="D10" t="b">
        <v>0</v>
      </c>
      <c r="E10" t="b">
        <v>0</v>
      </c>
      <c r="G10" t="b">
        <v>0</v>
      </c>
      <c r="H10" t="b">
        <v>0</v>
      </c>
    </row>
    <row r="11">
      <c r="A11" t="str">
        <v>ciu@unizar.es</v>
      </c>
      <c r="B11" t="str">
        <v>Universidad Zaragoza</v>
      </c>
      <c r="C11" t="str">
        <v>Zaragoza</v>
      </c>
      <c r="D11" t="b">
        <v>0</v>
      </c>
      <c r="E11" t="b">
        <v>0</v>
      </c>
      <c r="G11" t="b">
        <v>0</v>
      </c>
      <c r="H11" t="b">
        <v>0</v>
      </c>
    </row>
    <row r="12">
      <c r="A12" t="str">
        <v>international.relations@novasbe.pt</v>
      </c>
      <c r="B12" t="str">
        <v>Nova School Business &amp; Economics</v>
      </c>
      <c r="C12" t="str">
        <v>Carcavelos</v>
      </c>
      <c r="D12" t="b">
        <v>0</v>
      </c>
      <c r="E12" t="b">
        <v>0</v>
      </c>
      <c r="G12" t="b">
        <v>0</v>
      </c>
      <c r="H12" t="b">
        <v>0</v>
      </c>
    </row>
    <row r="13">
      <c r="A13" t="str">
        <v>polo.emprego@mail.uma.pt</v>
      </c>
      <c r="B13" t="str">
        <v>Universidade de madeira</v>
      </c>
      <c r="C13" t="str">
        <v>madeira</v>
      </c>
      <c r="D13" t="b">
        <v>0</v>
      </c>
      <c r="E13" t="b">
        <v>1</v>
      </c>
      <c r="F13" t="str">
        <v>Mail beantwoorden</v>
      </c>
      <c r="G13" t="b">
        <v>0</v>
      </c>
      <c r="H13" t="b">
        <v>0</v>
      </c>
    </row>
    <row r="14">
      <c r="A14" t="str">
        <v>informacion@usal.es</v>
      </c>
      <c r="B14" t="str">
        <v>Universidad de Salamanca</v>
      </c>
      <c r="C14" t="str">
        <v>Salamanca</v>
      </c>
      <c r="D14" t="b">
        <v>0</v>
      </c>
      <c r="E14" t="b">
        <v>0</v>
      </c>
      <c r="G14" t="b">
        <v>0</v>
      </c>
      <c r="H14" t="b">
        <v>0</v>
      </c>
    </row>
    <row r="15">
      <c r="A15" t="str">
        <v>athena-office@uvigo.gal</v>
      </c>
      <c r="B15" t="str">
        <v>Universidade de Vigo</v>
      </c>
      <c r="C15" t="str">
        <v>Vigo</v>
      </c>
      <c r="D15" t="b">
        <v>0</v>
      </c>
      <c r="E15" t="b">
        <v>0</v>
      </c>
      <c r="G15" t="b">
        <v>0</v>
      </c>
      <c r="H15" t="b">
        <v>0</v>
      </c>
    </row>
    <row r="16">
      <c r="A16" t="str">
        <v>comunicacio@uic.es</v>
      </c>
      <c r="B16" t="str">
        <v>UIC Barcalona</v>
      </c>
      <c r="C16" t="str">
        <v>Barcalona</v>
      </c>
      <c r="D16" t="b">
        <v>0</v>
      </c>
      <c r="E16" t="b">
        <v>0</v>
      </c>
      <c r="G16" t="b">
        <v>0</v>
      </c>
      <c r="H16" t="b">
        <v>0</v>
      </c>
    </row>
    <row r="17">
      <c r="A17" t="str">
        <v>erasmuspracticas@ugr.es</v>
      </c>
      <c r="B17" t="str">
        <v>Univesidad de Granada</v>
      </c>
      <c r="C17" t="str">
        <v>Granada</v>
      </c>
      <c r="D17" t="b">
        <v>0</v>
      </c>
      <c r="E17" t="b">
        <v>0</v>
      </c>
      <c r="G17" t="b">
        <v>0</v>
      </c>
      <c r="H17" t="b">
        <v>0</v>
      </c>
      <c r="J17" t="str">
        <v>p.internacionales@ugr.es mail versturen naar dit email adres</v>
      </c>
    </row>
    <row r="18">
      <c r="A18" t="str">
        <v>vicedecano.rrii@turismo.uma.es</v>
      </c>
      <c r="B18" t="str">
        <v>Universidad de Malaga - Facultad de turismo</v>
      </c>
      <c r="C18" t="str">
        <v>Malaga</v>
      </c>
      <c r="D18" t="b">
        <v>0</v>
      </c>
      <c r="E18" t="b">
        <v>0</v>
      </c>
      <c r="G18" t="b">
        <v>0</v>
      </c>
      <c r="H18" t="b">
        <v>0</v>
      </c>
      <c r="J18" t="str">
        <v>verkeerde mail</v>
      </c>
    </row>
    <row r="19">
      <c r="A19" t="str">
        <v>vicmovi@ull.edu.es</v>
      </c>
      <c r="B19" t="str">
        <v>Universidad de la Laguna - facultad de economia, empresa y turismo</v>
      </c>
      <c r="C19" t="str">
        <v>Tenerife</v>
      </c>
      <c r="D19" t="b">
        <v>0</v>
      </c>
      <c r="E19" t="b">
        <v>0</v>
      </c>
      <c r="G19" t="b">
        <v>0</v>
      </c>
      <c r="H19" t="b">
        <v>0</v>
      </c>
    </row>
    <row r="20">
      <c r="A20" t="str">
        <v>movifeet@ull.edu.es</v>
      </c>
      <c r="B20" t="str">
        <v>Universidad de la Laguna - facultad de economia, empresa y turismo</v>
      </c>
      <c r="C20" t="str">
        <v>Tenerife</v>
      </c>
      <c r="D20" t="b">
        <v>0</v>
      </c>
      <c r="E20" t="b">
        <v>0</v>
      </c>
      <c r="G20" t="b">
        <v>0</v>
      </c>
      <c r="H20" t="b">
        <v>0</v>
      </c>
    </row>
    <row r="21">
      <c r="A21" t="str">
        <v>practicas.internacionales@deusto.es</v>
      </c>
      <c r="B21" t="str">
        <v>Universidad de Deusto</v>
      </c>
      <c r="C21" t="str">
        <v>Bilbao</v>
      </c>
      <c r="D21" t="b">
        <v>0</v>
      </c>
      <c r="E21" t="b">
        <v>0</v>
      </c>
      <c r="G21" t="b">
        <v>0</v>
      </c>
      <c r="H21" t="b">
        <v>0</v>
      </c>
    </row>
    <row r="22">
      <c r="A22" t="str">
        <v>vr.ric@ua.es</v>
      </c>
      <c r="B22" t="str">
        <v>Universidad de Alicante</v>
      </c>
      <c r="C22" t="str">
        <v>Alicante</v>
      </c>
      <c r="D22" t="b">
        <v>0</v>
      </c>
      <c r="E22" t="b">
        <v>0</v>
      </c>
      <c r="G22" t="b">
        <v>0</v>
      </c>
      <c r="H22" t="b">
        <v>0</v>
      </c>
    </row>
    <row r="23">
      <c r="A23" t="str">
        <v>vri@uji.es</v>
      </c>
      <c r="B23" t="str">
        <v>Universitat Jaume I</v>
      </c>
      <c r="C23" t="str">
        <v>Castellón de la Plana</v>
      </c>
      <c r="D23" t="b">
        <v>0</v>
      </c>
      <c r="E23" t="b">
        <v>1</v>
      </c>
      <c r="G23" t="b">
        <v>0</v>
      </c>
      <c r="H23" t="b">
        <v>0</v>
      </c>
      <c r="J23" t="str">
        <v>versturen naar andere mail</v>
      </c>
    </row>
    <row r="24">
      <c r="A24" t="str">
        <v>centrointernacional@us.es</v>
      </c>
      <c r="B24" t="str">
        <v>Universidad de Sevilla</v>
      </c>
      <c r="C24" t="str">
        <v>Sevilla</v>
      </c>
      <c r="D24" t="b">
        <v>0</v>
      </c>
      <c r="E24" t="b">
        <v>0</v>
      </c>
      <c r="G24" t="b">
        <v>0</v>
      </c>
      <c r="H24" t="b">
        <v>0</v>
      </c>
    </row>
    <row r="25">
      <c r="A25" t="str">
        <v>internacionales@um.es</v>
      </c>
      <c r="B25" t="str">
        <v>Universidad de Murcia</v>
      </c>
      <c r="C25" t="str">
        <v>Murcia</v>
      </c>
      <c r="D25" t="b">
        <v>0</v>
      </c>
      <c r="E25" t="b">
        <v>0</v>
      </c>
      <c r="G25" t="b">
        <v>0</v>
      </c>
      <c r="H25" t="b">
        <v>0</v>
      </c>
    </row>
    <row r="26">
      <c r="A26" t="str">
        <v>sgeneral@upo.es</v>
      </c>
      <c r="B26" t="str">
        <v>Universidad Pablo de Olavide</v>
      </c>
      <c r="C26" t="str">
        <v>Sevilla</v>
      </c>
      <c r="D26" t="b">
        <v>0</v>
      </c>
      <c r="E26" t="b">
        <v>0</v>
      </c>
      <c r="G26" t="b">
        <v>0</v>
      </c>
      <c r="H26" t="b">
        <v>0</v>
      </c>
    </row>
    <row r="27">
      <c r="A27" t="str">
        <v>execed@ie.edu</v>
      </c>
      <c r="B27" t="str">
        <v>IE University</v>
      </c>
      <c r="C27" t="str">
        <v>Madrid</v>
      </c>
      <c r="D27" t="b">
        <v>0</v>
      </c>
      <c r="E27" t="b">
        <v>0</v>
      </c>
      <c r="G27" t="b">
        <v>0</v>
      </c>
      <c r="H27" t="b">
        <v>0</v>
      </c>
    </row>
  </sheetData>
  <hyperlinks>
    <hyperlink ref="F7" r:id="rId1"/>
    <hyperlink ref="J17" r:id="rId2"/>
  </hyperlinks>
  <ignoredErrors>
    <ignoredError numberStoredAsText="1" sqref="A1:J998"/>
  </ignoredErrors>
</worksheet>
</file>

<file path=xl/worksheets/sheet10.xml><?xml version="1.0" encoding="utf-8"?>
<worksheet xmlns="http://schemas.openxmlformats.org/spreadsheetml/2006/main" xmlns:r="http://schemas.openxmlformats.org/officeDocument/2006/relationships">
  <dimension ref="A1:J998"/>
  <sheetViews>
    <sheetView workbookViewId="0" rightToLeft="0"/>
  </sheetViews>
  <sheetData>
    <row r="1">
      <c r="A1" t="str">
        <v>ITEmailContact</v>
      </c>
      <c r="B1" t="str">
        <v>ITUniversityName</v>
      </c>
      <c r="C1" t="str">
        <v>City</v>
      </c>
      <c r="D1" t="str">
        <v>Interested?</v>
      </c>
      <c r="E1" t="str">
        <v>Gereageerd?</v>
      </c>
      <c r="F1" t="str">
        <v>Link to career portal</v>
      </c>
      <c r="G1" t="str">
        <v>Career Portal Sign Up</v>
      </c>
      <c r="H1" t="str">
        <v>On board?</v>
      </c>
      <c r="I1" t="str">
        <v>Renewal Date</v>
      </c>
      <c r="J1" t="str">
        <v>Notes</v>
      </c>
    </row>
    <row r="2">
      <c r="A2" t="str">
        <v>valentina.dellacorte@unina.it</v>
      </c>
      <c r="B2" t="str">
        <v>Università degli Studi di Napoli Federico II</v>
      </c>
      <c r="C2" t="str">
        <v>Napels</v>
      </c>
      <c r="D2" t="b">
        <v>0</v>
      </c>
      <c r="E2" t="b">
        <v>0</v>
      </c>
      <c r="G2" t="b">
        <v>0</v>
      </c>
      <c r="H2" t="b">
        <v>0</v>
      </c>
    </row>
    <row r="3">
      <c r="A3" t="str">
        <v>stage.estero@unive.it</v>
      </c>
      <c r="B3" t="str">
        <v>Ca' Foscari University</v>
      </c>
      <c r="C3" t="str">
        <v>Venetie</v>
      </c>
      <c r="D3" t="b">
        <v>0</v>
      </c>
      <c r="E3" t="b">
        <v>1</v>
      </c>
      <c r="F3" t="str">
        <v>https://apps.unive.it/tirocini-en/azienda/login</v>
      </c>
      <c r="G3" t="b">
        <v>0</v>
      </c>
      <c r="H3" t="b">
        <v>0</v>
      </c>
    </row>
    <row r="4">
      <c r="A4" t="str">
        <v>internationaldesk@unibo.it</v>
      </c>
      <c r="B4" t="str">
        <v>Università di Bologna</v>
      </c>
      <c r="C4" t="str">
        <v>Bologna</v>
      </c>
      <c r="D4" t="b">
        <v>0</v>
      </c>
      <c r="E4" t="b">
        <v>0</v>
      </c>
      <c r="G4" t="b">
        <v>0</v>
      </c>
      <c r="H4" t="b">
        <v>0</v>
      </c>
    </row>
    <row r="5">
      <c r="A5" t="str">
        <v>Internship@aur.edu</v>
      </c>
      <c r="B5" t="str">
        <v>The American University of Rome</v>
      </c>
      <c r="C5" t="str">
        <v>Rome</v>
      </c>
      <c r="D5" t="b">
        <v>0</v>
      </c>
      <c r="E5" t="b">
        <v>0</v>
      </c>
      <c r="G5" t="b">
        <v>0</v>
      </c>
      <c r="H5" t="b">
        <v>0</v>
      </c>
    </row>
    <row r="6">
      <c r="A6" t="str">
        <v>placement@unibz.it</v>
      </c>
      <c r="B6" t="str">
        <v>Free University of Bozon-Bolzano</v>
      </c>
      <c r="C6" t="str">
        <v>Bolzano</v>
      </c>
      <c r="D6" t="b">
        <v>0</v>
      </c>
      <c r="E6" t="b">
        <v>1</v>
      </c>
      <c r="F6" t="str">
        <v>https://unibz.almalaurea.it/en/aziende/ricerca/</v>
      </c>
      <c r="G6" t="b">
        <v>0</v>
      </c>
      <c r="H6" t="b">
        <v>0</v>
      </c>
    </row>
    <row r="7">
      <c r="A7" t="str">
        <v>internship@iulm.it</v>
      </c>
      <c r="B7" t="str">
        <v>IULM University of Milan</v>
      </c>
      <c r="C7" t="str">
        <v>Milaan</v>
      </c>
      <c r="D7" t="b">
        <v>0</v>
      </c>
      <c r="E7" t="b">
        <v>1</v>
      </c>
      <c r="F7" t="str">
        <v>https://iulm.almalaurea.it/ent/login.aspx?lang=en</v>
      </c>
      <c r="G7" t="b">
        <v>0</v>
      </c>
      <c r="H7" t="b">
        <v>0</v>
      </c>
    </row>
    <row r="8">
      <c r="A8" t="str">
        <v>mobilita@univda.it</v>
      </c>
      <c r="B8" t="str">
        <v>University of Aosta Valley</v>
      </c>
      <c r="C8" t="str">
        <v>Aosta</v>
      </c>
      <c r="D8" t="b">
        <v>0</v>
      </c>
      <c r="E8" t="b">
        <v>1</v>
      </c>
      <c r="F8" t="str">
        <v>https://forms.cloud.microsoft/Pages/ResponsePage.aspx?id=89ENPlAOXUeY4w5VzKNISVZB_uYFU5pIl_yHP4XKzNZUMU5MS1JSVlNKRDNaU0M5SllCNTVIOUhYNCQlQCN0PWcu</v>
      </c>
      <c r="G8" t="b">
        <v>0</v>
      </c>
      <c r="H8" t="b">
        <v>0</v>
      </c>
    </row>
    <row r="9">
      <c r="A9" t="str">
        <v>ida.mastroviti@uniba.it</v>
      </c>
      <c r="B9" t="str">
        <v>University of Barri</v>
      </c>
      <c r="C9" t="str">
        <v>Barri</v>
      </c>
      <c r="D9" t="b">
        <v>0</v>
      </c>
      <c r="E9" t="b">
        <v>0</v>
      </c>
      <c r="G9" t="b">
        <v>0</v>
      </c>
      <c r="H9" t="b">
        <v>0</v>
      </c>
    </row>
    <row r="10">
      <c r="A10" t="str">
        <v>stage@unibs.it</v>
      </c>
      <c r="B10" t="str">
        <v>University of Brescia</v>
      </c>
      <c r="C10" t="str">
        <v>Brescia</v>
      </c>
      <c r="D10" t="b">
        <v>0</v>
      </c>
      <c r="E10" t="b">
        <v>0</v>
      </c>
      <c r="G10" t="b">
        <v>0</v>
      </c>
      <c r="H10" t="b">
        <v>0</v>
      </c>
      <c r="J10" t="str">
        <v>adres niet gevonden</v>
      </c>
    </row>
    <row r="11">
      <c r="A11" t="str">
        <v>study@iep.edu.eu</v>
      </c>
      <c r="B11" t="str">
        <v>IEP Italy</v>
      </c>
      <c r="C11" t="str">
        <v>Rome</v>
      </c>
      <c r="D11" t="b">
        <v>0</v>
      </c>
      <c r="E11" t="b">
        <v>0</v>
      </c>
      <c r="G11" t="b">
        <v>0</v>
      </c>
      <c r="H11" t="b">
        <v>0</v>
      </c>
      <c r="J11" t="str">
        <v>adres niet gevonden</v>
      </c>
    </row>
    <row r="12">
      <c r="A12" t="str">
        <v>international.projects@unipd.it</v>
      </c>
      <c r="B12" t="str">
        <v>Universita Degli Studie di Padova</v>
      </c>
      <c r="C12" t="str">
        <v>Padua</v>
      </c>
      <c r="D12" t="b">
        <v>0</v>
      </c>
      <c r="E12" t="b">
        <v>0</v>
      </c>
      <c r="G12" t="b">
        <v>0</v>
      </c>
      <c r="H12" t="b">
        <v>0</v>
      </c>
    </row>
    <row r="13">
      <c r="A13" t="str">
        <v>unescochair@unito.it</v>
      </c>
      <c r="B13" t="str">
        <v>Universita di Torino</v>
      </c>
      <c r="C13" t="str">
        <v>Turijn</v>
      </c>
      <c r="D13" t="b">
        <v>0</v>
      </c>
      <c r="E13" t="b">
        <v>0</v>
      </c>
      <c r="G13" t="b">
        <v>0</v>
      </c>
      <c r="H13" t="b">
        <v>0</v>
      </c>
    </row>
    <row r="14">
      <c r="A14" t="str">
        <v>internazionalizzazione@unifi.it</v>
      </c>
      <c r="B14" t="str">
        <v>Università degli Studi di Firenze</v>
      </c>
      <c r="C14" t="str">
        <v>Firenze</v>
      </c>
      <c r="D14" t="b">
        <v>0</v>
      </c>
      <c r="E14" t="b">
        <v>1</v>
      </c>
      <c r="G14" t="b">
        <v>0</v>
      </c>
      <c r="H14" t="b">
        <v>0</v>
      </c>
      <c r="J14" t="str">
        <v>Andere email mailen</v>
      </c>
    </row>
    <row r="15">
      <c r="A15" t="str">
        <v>sportellomobstud@unige.it</v>
      </c>
      <c r="B15" t="str">
        <v>Università di Genova</v>
      </c>
      <c r="C15" t="str">
        <v>Genova</v>
      </c>
      <c r="D15" t="b">
        <v>0</v>
      </c>
      <c r="E15" t="b">
        <v>0</v>
      </c>
      <c r="G15" t="b">
        <v>0</v>
      </c>
      <c r="H15" t="b">
        <v>0</v>
      </c>
    </row>
    <row r="16">
      <c r="A16" t="str">
        <v>careerservice@unipi.it</v>
      </c>
      <c r="B16" t="str">
        <v xml:space="preserve">Università di Pisa </v>
      </c>
      <c r="C16" t="str">
        <v>Pise</v>
      </c>
      <c r="D16" t="b">
        <v>0</v>
      </c>
      <c r="E16" t="b">
        <v>0</v>
      </c>
      <c r="G16" t="b">
        <v>0</v>
      </c>
      <c r="H16" t="b">
        <v>0</v>
      </c>
    </row>
    <row r="17">
      <c r="A17" t="str">
        <v>careerservice@luiss.it</v>
      </c>
      <c r="B17" t="str">
        <v xml:space="preserve">LUISS Guido Carli </v>
      </c>
      <c r="C17" t="str">
        <v>Rome</v>
      </c>
      <c r="D17" t="b">
        <v>0</v>
      </c>
      <c r="E17" t="b">
        <v>0</v>
      </c>
      <c r="G17" t="b">
        <v>0</v>
      </c>
      <c r="H17" t="b">
        <v>0</v>
      </c>
    </row>
    <row r="18">
      <c r="A18" t="str">
        <v>valentina.tinacci@unisi.it</v>
      </c>
      <c r="B18" t="str">
        <v xml:space="preserve">Università degli Studi di Siena </v>
      </c>
      <c r="C18" t="str">
        <v>Siena</v>
      </c>
      <c r="D18" t="b">
        <v>0</v>
      </c>
      <c r="E18" t="b">
        <v>0</v>
      </c>
      <c r="G18" t="b">
        <v>0</v>
      </c>
      <c r="H18" t="b">
        <v>0</v>
      </c>
    </row>
    <row r="19">
      <c r="D19" t="b">
        <v>0</v>
      </c>
      <c r="E19" t="b">
        <v>0</v>
      </c>
      <c r="G19" t="b">
        <v>0</v>
      </c>
      <c r="H19" t="b">
        <v>0</v>
      </c>
    </row>
    <row r="20">
      <c r="D20" t="b">
        <v>0</v>
      </c>
      <c r="E20" t="b">
        <v>0</v>
      </c>
      <c r="G20" t="b">
        <v>0</v>
      </c>
      <c r="H20" t="b">
        <v>0</v>
      </c>
    </row>
    <row r="21">
      <c r="D21" t="b">
        <v>0</v>
      </c>
      <c r="E21" t="b">
        <v>0</v>
      </c>
      <c r="G21" t="b">
        <v>0</v>
      </c>
      <c r="H21" t="b">
        <v>0</v>
      </c>
    </row>
    <row r="22">
      <c r="D22" t="b">
        <v>0</v>
      </c>
      <c r="E22" t="b">
        <v>0</v>
      </c>
      <c r="G22" t="b">
        <v>0</v>
      </c>
      <c r="H22" t="b">
        <v>0</v>
      </c>
    </row>
    <row r="23">
      <c r="D23" t="b">
        <v>0</v>
      </c>
      <c r="E23" t="b">
        <v>0</v>
      </c>
      <c r="G23" t="b">
        <v>0</v>
      </c>
      <c r="H23" t="b">
        <v>0</v>
      </c>
    </row>
    <row r="24">
      <c r="D24" t="b">
        <v>0</v>
      </c>
      <c r="E24" t="b">
        <v>0</v>
      </c>
      <c r="G24" t="b">
        <v>0</v>
      </c>
      <c r="H24" t="b">
        <v>0</v>
      </c>
    </row>
    <row r="25">
      <c r="D25" t="b">
        <v>0</v>
      </c>
      <c r="E25" t="b">
        <v>0</v>
      </c>
      <c r="G25" t="b">
        <v>0</v>
      </c>
      <c r="H25" t="b">
        <v>0</v>
      </c>
    </row>
    <row r="26">
      <c r="D26" t="b">
        <v>0</v>
      </c>
      <c r="E26" t="b">
        <v>0</v>
      </c>
      <c r="G26" t="b">
        <v>0</v>
      </c>
      <c r="H26" t="b">
        <v>0</v>
      </c>
    </row>
    <row r="27">
      <c r="D27" t="b">
        <v>0</v>
      </c>
      <c r="E27" t="b">
        <v>0</v>
      </c>
      <c r="G27" t="b">
        <v>0</v>
      </c>
      <c r="H27" t="b">
        <v>0</v>
      </c>
    </row>
  </sheetData>
  <hyperlinks>
    <hyperlink ref="F3" r:id="rId1"/>
    <hyperlink ref="F6" r:id="rId2"/>
    <hyperlink ref="F7" r:id="rId3"/>
    <hyperlink ref="F8" r:id="rId4"/>
  </hyperlinks>
  <ignoredErrors>
    <ignoredError numberStoredAsText="1" sqref="A1:J998"/>
  </ignoredErrors>
</worksheet>
</file>

<file path=xl/worksheets/sheet11.xml><?xml version="1.0" encoding="utf-8"?>
<worksheet xmlns="http://schemas.openxmlformats.org/spreadsheetml/2006/main" xmlns:r="http://schemas.openxmlformats.org/officeDocument/2006/relationships">
  <dimension ref="A1:K998"/>
  <sheetViews>
    <sheetView workbookViewId="0" rightToLeft="0"/>
  </sheetViews>
  <sheetData>
    <row r="1">
      <c r="A1" t="str">
        <v>BEEmailContact</v>
      </c>
      <c r="B1" t="str">
        <v>BEUniversityName</v>
      </c>
      <c r="C1" t="str">
        <v>City</v>
      </c>
      <c r="D1" t="str">
        <v>Interested?</v>
      </c>
      <c r="E1" t="str">
        <v>Gereageerd?</v>
      </c>
      <c r="F1" t="str">
        <v>Link to career portal</v>
      </c>
      <c r="G1" t="str">
        <v>Career Portal Sign Up</v>
      </c>
      <c r="H1" t="str">
        <v>On board?</v>
      </c>
      <c r="I1" t="str">
        <v>Renewal Date</v>
      </c>
      <c r="J1" t="str">
        <v>Notes</v>
      </c>
      <c r="K1" t="str">
        <v>Column 1</v>
      </c>
    </row>
    <row r="2">
      <c r="A2" t="str">
        <v>werkgever@kuleuven.be</v>
      </c>
      <c r="B2" t="str">
        <v>KU Leuven</v>
      </c>
      <c r="C2" t="str">
        <v>Leuven</v>
      </c>
      <c r="D2" t="b">
        <v>0</v>
      </c>
      <c r="E2" t="b">
        <v>1</v>
      </c>
      <c r="G2" t="b">
        <v>0</v>
      </c>
      <c r="H2" t="b">
        <v>0</v>
      </c>
      <c r="J2" t="str">
        <v>Mail lezen om te posten</v>
      </c>
    </row>
    <row r="3">
      <c r="A3" t="str">
        <v>careercenter@ugent.be</v>
      </c>
      <c r="B3" t="str">
        <v>Ghent University</v>
      </c>
      <c r="C3" t="str">
        <f>IFERROR(__xludf.DUMMYFUNCTION("AI(""The city that the University in the row beside resides in"")"),"Ghent")</f>
        <v>Ghent</v>
      </c>
      <c r="D3" t="b">
        <v>0</v>
      </c>
      <c r="E3" t="b">
        <v>1</v>
      </c>
      <c r="G3" t="b">
        <v>0</v>
      </c>
      <c r="H3" t="b">
        <v>0</v>
      </c>
      <c r="J3" t="str">
        <v>Mail lezen om te posten</v>
      </c>
    </row>
    <row r="4">
      <c r="A4" t="str">
        <v>careerguidance@vub.be</v>
      </c>
      <c r="B4" t="str">
        <v>Vrije Universiteit Brussel</v>
      </c>
      <c r="C4" t="str">
        <f>IFERROR(__xludf.DUMMYFUNCTION("AI(""The city that the University in the row beside resides in"")"),"Brussels")</f>
        <v>Brussels</v>
      </c>
      <c r="D4" t="b">
        <v>0</v>
      </c>
      <c r="E4" t="b">
        <v>0</v>
      </c>
      <c r="G4" t="b">
        <v>0</v>
      </c>
      <c r="H4" t="b">
        <v>0</v>
      </c>
    </row>
    <row r="5">
      <c r="A5" t="str">
        <v>infor-emploi@ulb.be</v>
      </c>
      <c r="B5" t="str">
        <v>Université libre de Bruxelles</v>
      </c>
      <c r="C5" t="str">
        <f>IFERROR(__xludf.DUMMYFUNCTION("AI(""The city that the University in the row beside resides in"")"),"Brussels")</f>
        <v>Brussels</v>
      </c>
      <c r="D5" t="b">
        <v>0</v>
      </c>
      <c r="E5" t="b">
        <v>1</v>
      </c>
      <c r="F5" t="str">
        <v>https://ulb.jobteaser.com/fr/recruiter-solutions</v>
      </c>
      <c r="G5" t="b">
        <v>0</v>
      </c>
      <c r="H5" t="b">
        <v>0</v>
      </c>
    </row>
    <row r="6">
      <c r="A6" t="str">
        <v>exchange.fbe@uantwerp.be</v>
      </c>
      <c r="B6" t="str">
        <v>University of Antwerp</v>
      </c>
      <c r="C6" t="str">
        <f>IFERROR(__xludf.DUMMYFUNCTION("AI(""The city that the University in the row beside resides in"")"),"Antwerp")</f>
        <v>Antwerp</v>
      </c>
      <c r="D6" t="b">
        <v>0</v>
      </c>
      <c r="E6" t="b">
        <v>0</v>
      </c>
      <c r="G6" t="b">
        <v>0</v>
      </c>
      <c r="H6" t="b">
        <v>0</v>
      </c>
    </row>
    <row r="7">
      <c r="A7" t="str">
        <v>studentpoint@uhasselt.be</v>
      </c>
      <c r="B7" t="str">
        <v>Hasselt University</v>
      </c>
      <c r="C7" t="str">
        <v>Hasselt</v>
      </c>
      <c r="D7" t="b">
        <v>0</v>
      </c>
      <c r="E7" t="b">
        <v>0</v>
      </c>
      <c r="G7" t="b">
        <v>0</v>
      </c>
      <c r="H7" t="b">
        <v>0</v>
      </c>
    </row>
    <row r="8">
      <c r="A8" t="str">
        <v>lsm-career-events@uclouvain.be</v>
      </c>
      <c r="B8" t="str">
        <v>UCLouvain</v>
      </c>
      <c r="C8" t="str">
        <f>IFERROR(__xludf.DUMMYFUNCTION("AI(""The city that the University in the row beside resides in"")"),"Louvain-la-Neuve")</f>
        <v>Louvain-la-Neuve</v>
      </c>
      <c r="D8" t="b">
        <v>0</v>
      </c>
      <c r="E8" t="b">
        <v>1</v>
      </c>
      <c r="F8" t="str">
        <v>lsm.jobteaser.com/en/recruiter_account/job_offers</v>
      </c>
      <c r="G8" t="b">
        <v>0</v>
      </c>
      <c r="H8" t="b">
        <v>0</v>
      </c>
    </row>
    <row r="9">
      <c r="A9" t="str">
        <v>careercenter@uliege.be</v>
      </c>
      <c r="B9" t="str">
        <v>University of Liège</v>
      </c>
      <c r="C9" t="str">
        <f>IFERROR(__xludf.DUMMYFUNCTION("AI(""The city that the University in the row beside resides in"")"),"Liège, Gembloux and Arlon")</f>
        <v>Liège, Gembloux and Arlon</v>
      </c>
      <c r="D9" t="b">
        <v>0</v>
      </c>
      <c r="E9" t="b">
        <v>0</v>
      </c>
      <c r="F9" t="str">
        <v>https://uliege.jobteaser.com/fr/recruiter_account/sign_in</v>
      </c>
      <c r="G9" t="b">
        <v>0</v>
      </c>
      <c r="H9" t="b">
        <v>0</v>
      </c>
    </row>
    <row r="10">
      <c r="A10" t="str">
        <v>cellule.emploi@unamur.be</v>
      </c>
      <c r="B10" t="str">
        <v>University of Namur</v>
      </c>
      <c r="C10" t="str">
        <f>IFERROR(__xludf.DUMMYFUNCTION("AI(""The city that the University in the row beside resides in"")"),"Namur")</f>
        <v>Namur</v>
      </c>
      <c r="D10" t="b">
        <v>0</v>
      </c>
      <c r="E10" t="b">
        <v>1</v>
      </c>
      <c r="G10" t="b">
        <v>0</v>
      </c>
      <c r="H10" t="b">
        <v>0</v>
      </c>
    </row>
    <row r="11">
      <c r="A11" t="str">
        <v>info-slb@uclouvain.be</v>
      </c>
      <c r="B11" t="str">
        <v>Université Saint-Louis Bruxelles</v>
      </c>
      <c r="C11" t="str">
        <f>IFERROR(__xludf.DUMMYFUNCTION("AI(""The city that the University in the row beside resides in"")"),"Brussels")</f>
        <v>Brussels</v>
      </c>
      <c r="D11" t="b">
        <v>0</v>
      </c>
      <c r="E11" t="b">
        <v>0</v>
      </c>
      <c r="G11" t="b">
        <v>0</v>
      </c>
      <c r="H11" t="b">
        <v>0</v>
      </c>
    </row>
    <row r="12">
      <c r="A12" t="str">
        <v>campus-recruitment@solvay.edu</v>
      </c>
      <c r="B12" t="str">
        <v>Solvay Brussels School of Economics and Management</v>
      </c>
      <c r="C12" t="str">
        <f>IFERROR(__xludf.DUMMYFUNCTION("AI(""The city that the University in the row beside resides in"")"),"Brussels")</f>
        <v>Brussels</v>
      </c>
      <c r="D12" t="b">
        <v>0</v>
      </c>
      <c r="E12" t="b">
        <v>1</v>
      </c>
      <c r="G12" t="b">
        <v>0</v>
      </c>
      <c r="H12" t="b">
        <v>0</v>
      </c>
      <c r="J12" t="str">
        <v xml:space="preserve">contact@solvaycampusrecruitment.be </v>
      </c>
      <c r="K12" t="str">
        <v>Via deze mail mailen</v>
      </c>
    </row>
    <row r="13">
      <c r="A13" t="str">
        <v>careers@vlerick.com</v>
      </c>
      <c r="B13" t="str">
        <v>Vlerick Business School</v>
      </c>
      <c r="C13" t="str">
        <f>IFERROR(__xludf.DUMMYFUNCTION("AI(""The city that the University in the row beside resides in"")"),"Ghent, Brussels and Leuven")</f>
        <v>Ghent, Brussels and Leuven</v>
      </c>
      <c r="D13" t="b">
        <v>0</v>
      </c>
      <c r="E13" t="b">
        <v>1</v>
      </c>
      <c r="F13" t="str">
        <v>https://vlerick.jobteaser.com/en/recruiter_account/sign_in .</v>
      </c>
      <c r="G13" t="b">
        <v>0</v>
      </c>
      <c r="H13" t="b">
        <v>0</v>
      </c>
    </row>
    <row r="14">
      <c r="A14" t="str">
        <v>ellen.neefs@ams.ac.be</v>
      </c>
      <c r="B14" t="str">
        <v>Antwerp Management School</v>
      </c>
      <c r="C14" t="str">
        <f>IFERROR(__xludf.DUMMYFUNCTION("AI(""The city that the University in the row beside resides in"")"),"Antwerp")</f>
        <v>Antwerp</v>
      </c>
      <c r="D14" t="b">
        <v>0</v>
      </c>
      <c r="E14" t="b">
        <v>0</v>
      </c>
      <c r="G14" t="b">
        <v>0</v>
      </c>
      <c r="H14" t="b">
        <v>0</v>
      </c>
    </row>
    <row r="15">
      <c r="A15" t="str">
        <v>info@thomasmore.be</v>
      </c>
      <c r="B15" t="str">
        <v>Thomas More University of Applied Sciences</v>
      </c>
      <c r="C15" t="str">
        <f>IFERROR(__xludf.DUMMYFUNCTION("AI(""The city that the University in the row beside resides in"")"),"Antwerp, Geel, Lier, Mechelen, Sint-Katelijne-Waver, Turnhout and Vorselaar")</f>
        <v>Antwerp, Geel, Lier, Mechelen, Sint-Katelijne-Waver, Turnhout and Vorselaar</v>
      </c>
      <c r="D15" t="b">
        <v>0</v>
      </c>
      <c r="E15" t="b">
        <v>0</v>
      </c>
      <c r="G15" t="b">
        <v>0</v>
      </c>
      <c r="H15" t="b">
        <v>0</v>
      </c>
    </row>
    <row r="16">
      <c r="A16" t="str">
        <v>info@arteveldehs.be</v>
      </c>
      <c r="B16" t="str">
        <v>Artevelde University of Applied Sciences</v>
      </c>
      <c r="C16" t="str">
        <f>IFERROR(__xludf.DUMMYFUNCTION("AI(""The city that the University in the row beside resides in"")"),"Ghent")</f>
        <v>Ghent</v>
      </c>
      <c r="D16" t="b">
        <v>0</v>
      </c>
      <c r="E16" t="b">
        <v>0</v>
      </c>
      <c r="G16" t="b">
        <v>0</v>
      </c>
      <c r="H16" t="b">
        <v>0</v>
      </c>
      <c r="J16" t="str">
        <v>uitleg over werkzaamheden</v>
      </c>
    </row>
    <row r="17">
      <c r="A17" t="str">
        <v>stagebureau.mt.leuven@ucll.be</v>
      </c>
      <c r="B17" t="str">
        <v>UCLL University of Applied Sciences</v>
      </c>
      <c r="C17" t="str">
        <f>IFERROR(__xludf.DUMMYFUNCTION("AI(""The city that the University in the row beside resides in"")"),"Leuven and Hasselt")</f>
        <v>Leuven and Hasselt</v>
      </c>
      <c r="D17" t="b">
        <v>0</v>
      </c>
      <c r="E17" t="b">
        <v>1</v>
      </c>
      <c r="F17" t="str">
        <v>https://www.ucll.be/nl/registration-internship-company-management</v>
      </c>
      <c r="G17" t="b">
        <v>0</v>
      </c>
      <c r="H17" t="b">
        <v>0</v>
      </c>
    </row>
    <row r="18">
      <c r="A18" t="str">
        <v>wannes.vandenbosch@kdg.be</v>
      </c>
      <c r="B18" t="str">
        <v>KdG University of Applied Sciences and Arts</v>
      </c>
      <c r="C18" t="str">
        <f>IFERROR(__xludf.DUMMYFUNCTION("AI(""The city that the University in the row beside resides in"")"),"Antwerp")</f>
        <v>Antwerp</v>
      </c>
      <c r="D18" t="b">
        <v>0</v>
      </c>
      <c r="E18" t="b">
        <v>0</v>
      </c>
      <c r="G18" t="b">
        <v>0</v>
      </c>
      <c r="H18" t="b">
        <v>0</v>
      </c>
    </row>
    <row r="19">
      <c r="A19" t="str">
        <v>info@hogent.be</v>
      </c>
      <c r="B19" t="str">
        <v>HOGENT University of Applied Sciences and Arts</v>
      </c>
      <c r="C19" t="str">
        <f>IFERROR(__xludf.DUMMYFUNCTION("AI(""The city that the University in the row beside resides in"")"),"Ghent")</f>
        <v>Ghent</v>
      </c>
      <c r="D19" t="b">
        <v>0</v>
      </c>
      <c r="E19" t="b">
        <v>0</v>
      </c>
      <c r="G19" t="b">
        <v>0</v>
      </c>
      <c r="H19" t="b">
        <v>0</v>
      </c>
    </row>
    <row r="20">
      <c r="A20" t="str">
        <v>info@howest.be</v>
      </c>
      <c r="B20" t="str">
        <v>Howest University of Applied Sciences</v>
      </c>
      <c r="C20" t="str">
        <f>IFERROR(__xludf.DUMMYFUNCTION("AI(""The city that the University in the row beside resides in"")"),"Bruges and Kortrijk")</f>
        <v>Bruges and Kortrijk</v>
      </c>
      <c r="D20" t="b">
        <v>0</v>
      </c>
      <c r="E20" t="b">
        <v>0</v>
      </c>
      <c r="G20" t="b">
        <v>0</v>
      </c>
      <c r="H20" t="b">
        <v>0</v>
      </c>
    </row>
    <row r="21">
      <c r="A21" t="str">
        <v>stages.ad@ephec.be</v>
      </c>
      <c r="B21" t="str">
        <v>EPHEC University College</v>
      </c>
      <c r="C21" t="str">
        <f>IFERROR(__xludf.DUMMYFUNCTION("AI(""The city that the University in the row beside resides in"")"),"Brussels and Louvain-la-Neuve")</f>
        <v>Brussels and Louvain-la-Neuve</v>
      </c>
      <c r="D21" t="b">
        <v>0</v>
      </c>
      <c r="E21" t="b">
        <v>0</v>
      </c>
      <c r="G21" t="b">
        <v>0</v>
      </c>
      <c r="H21" t="b">
        <v>0</v>
      </c>
    </row>
    <row r="22">
      <c r="A22" t="str">
        <v>info@ehb.be</v>
      </c>
      <c r="B22" t="str">
        <v>Erasmus Brussels University of Applied Sciences and Arts</v>
      </c>
      <c r="C22" t="str">
        <f>IFERROR(__xludf.DUMMYFUNCTION("AI(""The city that the University in the row beside resides in"")"),"Brussels")</f>
        <v>Brussels</v>
      </c>
      <c r="D22" t="b">
        <v>0</v>
      </c>
      <c r="E22" t="b">
        <v>0</v>
      </c>
      <c r="G22" t="b">
        <v>0</v>
      </c>
      <c r="H22" t="b">
        <v>0</v>
      </c>
    </row>
    <row r="23">
      <c r="C23" t="str">
        <f>IFERROR(__xludf.DUMMYFUNCTION("AI(""The city that the University in the row beside resides in"")"),"I do not have enough information to answer the query. I am missing the university name in column B of this row to determine which city it resides in.")</f>
        <v>I do not have enough information to answer the query. I am missing the university name in column B of this row to determine which city it resides in.</v>
      </c>
      <c r="D23" t="b">
        <v>0</v>
      </c>
      <c r="E23" t="b">
        <v>0</v>
      </c>
      <c r="G23" t="b">
        <v>0</v>
      </c>
      <c r="H23" t="b">
        <v>0</v>
      </c>
    </row>
    <row r="24">
      <c r="C24" t="str">
        <f>IFERROR(__xludf.DUMMYFUNCTION("AI(""The city that the University in the row beside resides in"")"),"I do not have enough information to answer the query. The university name for this row is missing from the provided spreadsheet context.")</f>
        <v>I do not have enough information to answer the query. The university name for this row is missing from the provided spreadsheet context.</v>
      </c>
      <c r="D24" t="b">
        <v>0</v>
      </c>
      <c r="E24" t="b">
        <v>0</v>
      </c>
      <c r="G24" t="b">
        <v>0</v>
      </c>
      <c r="H24" t="b">
        <v>0</v>
      </c>
    </row>
    <row r="25">
      <c r="C25" t="str">
        <f>IFERROR(__xludf.DUMMYFUNCTION("AI(""The city that the University in the row beside resides in"")"),"I do not have enough information to answer the query because the university name for this row is missing from the provided spreadsheet context.")</f>
        <v>I do not have enough information to answer the query because the university name for this row is missing from the provided spreadsheet context.</v>
      </c>
      <c r="D25" t="b">
        <v>0</v>
      </c>
      <c r="E25" t="b">
        <v>0</v>
      </c>
      <c r="G25" t="b">
        <v>0</v>
      </c>
      <c r="H25" t="b">
        <v>0</v>
      </c>
    </row>
    <row r="26">
      <c r="C26" t="str">
        <f>IFERROR(__xludf.DUMMYFUNCTION("AI(""The city that the University in the row beside resides in"")"),"I do not have enough information to answer the query. I am missing the name of the university for this row in the BEUniversityName column to determine its city.")</f>
        <v>I do not have enough information to answer the query. I am missing the name of the university for this row in the BEUniversityName column to determine its city.</v>
      </c>
      <c r="D26" t="b">
        <v>0</v>
      </c>
      <c r="E26" t="b">
        <v>0</v>
      </c>
      <c r="G26" t="b">
        <v>0</v>
      </c>
      <c r="H26" t="b">
        <v>0</v>
      </c>
    </row>
    <row r="27">
      <c r="C27" t="str">
        <f>IFERROR(__xludf.DUMMYFUNCTION("AI(""The city that the University in the row beside resides in"")"),"I do not have enough information to answer the query because the university name in column B is missing for this row.")</f>
        <v>I do not have enough information to answer the query because the university name in column B is missing for this row.</v>
      </c>
      <c r="D27" t="b">
        <v>0</v>
      </c>
      <c r="E27" t="b">
        <v>0</v>
      </c>
      <c r="G27" t="b">
        <v>0</v>
      </c>
      <c r="H27" t="b">
        <v>0</v>
      </c>
    </row>
  </sheetData>
  <hyperlinks>
    <hyperlink ref="F5" r:id="rId1"/>
    <hyperlink ref="F8" r:id="rId2"/>
    <hyperlink ref="F9" r:id="rId3"/>
    <hyperlink ref="J12" r:id="rId4"/>
    <hyperlink ref="F13" r:id="rId5"/>
    <hyperlink ref="F17" r:id="rId6"/>
  </hyperlinks>
  <ignoredErrors>
    <ignoredError numberStoredAsText="1" sqref="A1:K998"/>
  </ignoredErrors>
</worksheet>
</file>

<file path=xl/worksheets/sheet12.xml><?xml version="1.0" encoding="utf-8"?>
<worksheet xmlns="http://schemas.openxmlformats.org/spreadsheetml/2006/main" xmlns:r="http://schemas.openxmlformats.org/officeDocument/2006/relationships">
  <dimension ref="A1:J687"/>
  <sheetViews>
    <sheetView workbookViewId="0" rightToLeft="0"/>
  </sheetViews>
  <sheetData>
    <row r="1">
      <c r="A1" t="str">
        <v>DEEmailContact</v>
      </c>
      <c r="B1" t="str">
        <v>DEUniversityName</v>
      </c>
      <c r="C1" t="str">
        <v>City</v>
      </c>
      <c r="D1" t="str">
        <v>Interested?</v>
      </c>
      <c r="E1" t="str">
        <v>Gereageerd?</v>
      </c>
      <c r="F1" t="str">
        <v>Link to career portal</v>
      </c>
      <c r="G1" t="str">
        <v>Career Portal Sign Up</v>
      </c>
      <c r="H1" t="str">
        <v>Job posted</v>
      </c>
      <c r="I1" t="str">
        <v>Renewal Date</v>
      </c>
      <c r="J1" t="str">
        <v>Notes</v>
      </c>
    </row>
    <row r="2">
      <c r="A2" t="str">
        <v>info@esmt.org</v>
      </c>
      <c r="B2" t="str">
        <v>ESMT Berlin</v>
      </c>
      <c r="C2" t="str">
        <v>Berlijn</v>
      </c>
      <c r="D2" t="b">
        <v>0</v>
      </c>
      <c r="E2" t="b">
        <v>1</v>
      </c>
      <c r="F2" t="str">
        <v>https://employer.thecareeros.com/login</v>
      </c>
      <c r="G2" t="b">
        <v>0</v>
      </c>
      <c r="H2" t="b">
        <v>0</v>
      </c>
    </row>
    <row r="3">
      <c r="A3" t="str">
        <v>international@lmu.de</v>
      </c>
      <c r="B3" t="str">
        <v>LMU Munchen</v>
      </c>
      <c r="C3" t="str">
        <v>Munchen</v>
      </c>
      <c r="D3" t="b">
        <v>0</v>
      </c>
      <c r="E3" t="b">
        <v>0</v>
      </c>
      <c r="G3" t="b">
        <v>0</v>
      </c>
      <c r="H3" t="b">
        <v>0</v>
      </c>
    </row>
    <row r="4">
      <c r="A4" t="str">
        <v>sekretariat@isz.uni-heidelberg.de</v>
      </c>
      <c r="B4" t="str">
        <v>Universität Heidelberg</v>
      </c>
      <c r="C4" t="str">
        <v>Heidelberg</v>
      </c>
      <c r="D4" t="b">
        <v>0</v>
      </c>
      <c r="E4" t="b">
        <v>0</v>
      </c>
      <c r="G4" t="b">
        <v>0</v>
      </c>
      <c r="H4" t="b">
        <v>0</v>
      </c>
    </row>
    <row r="5">
      <c r="A5" t="str">
        <v>yoan.vilain@hu-berlin.de</v>
      </c>
      <c r="B5" t="str">
        <v xml:space="preserve">Humboldt Universität </v>
      </c>
      <c r="C5" t="str">
        <v>Berlijn</v>
      </c>
      <c r="D5" t="b">
        <v>0</v>
      </c>
      <c r="E5" t="b">
        <v>0</v>
      </c>
      <c r="G5" t="b">
        <v>0</v>
      </c>
      <c r="H5" t="b">
        <v>0</v>
      </c>
    </row>
    <row r="6">
      <c r="A6" t="str">
        <v>international@uni-bonn.de</v>
      </c>
      <c r="B6" t="str">
        <v>universitat de bonn</v>
      </c>
      <c r="C6" t="str">
        <v xml:space="preserve">Berlijn </v>
      </c>
      <c r="D6" t="b">
        <v>0</v>
      </c>
      <c r="E6" t="b">
        <v>1</v>
      </c>
      <c r="G6" t="b">
        <v>0</v>
      </c>
      <c r="H6" t="b">
        <v>0</v>
      </c>
    </row>
    <row r="7">
      <c r="A7" t="str">
        <v>impressum@rwth-aachen.de</v>
      </c>
      <c r="B7" t="str">
        <v>RTWH Aachen University</v>
      </c>
      <c r="C7" t="str">
        <v>Aachen</v>
      </c>
      <c r="D7" t="b">
        <v>0</v>
      </c>
      <c r="E7" t="b">
        <v>0</v>
      </c>
      <c r="G7" t="b">
        <v>0</v>
      </c>
      <c r="H7" t="b">
        <v>0</v>
      </c>
    </row>
    <row r="8">
      <c r="A8" t="str">
        <v>info@uni-tuebingen.de</v>
      </c>
      <c r="B8" t="str">
        <v>Universität Tübingen</v>
      </c>
      <c r="C8" t="str">
        <v>Tübingen</v>
      </c>
      <c r="D8" t="b">
        <v>0</v>
      </c>
      <c r="E8" t="b">
        <v>0</v>
      </c>
      <c r="G8" t="b">
        <v>0</v>
      </c>
      <c r="H8" t="b">
        <v>0</v>
      </c>
    </row>
    <row r="9">
      <c r="A9" t="str">
        <v>praesident@fu-berlin.de</v>
      </c>
      <c r="B9" t="str">
        <v>Freie Universität Berlin</v>
      </c>
      <c r="C9" t="str">
        <v>Berlijn</v>
      </c>
      <c r="D9" t="b">
        <v>0</v>
      </c>
      <c r="E9" t="b">
        <v>0</v>
      </c>
      <c r="G9" t="b">
        <v>0</v>
      </c>
      <c r="H9" t="b">
        <v>0</v>
      </c>
    </row>
    <row r="10">
      <c r="A10" t="str">
        <v>international-office@uni-hamburg.de</v>
      </c>
      <c r="B10" t="str">
        <v>Universität Hamburg</v>
      </c>
      <c r="C10" t="str">
        <v>Hamburg</v>
      </c>
      <c r="D10" t="b">
        <v>0</v>
      </c>
      <c r="E10" t="b">
        <v>0</v>
      </c>
      <c r="G10" t="b">
        <v>0</v>
      </c>
      <c r="H10" t="b">
        <v>0</v>
      </c>
    </row>
    <row r="11">
      <c r="A11" t="str">
        <v>c.biehl@verw.uni-koeln.de</v>
      </c>
      <c r="B11" t="str">
        <v>University of Köln</v>
      </c>
      <c r="C11" t="str">
        <v>Keulen</v>
      </c>
      <c r="D11" t="b">
        <v>0</v>
      </c>
      <c r="E11" t="b">
        <v>0</v>
      </c>
      <c r="G11" t="b">
        <v>0</v>
      </c>
      <c r="H11" t="b">
        <v>0</v>
      </c>
    </row>
    <row r="12">
      <c r="A12" t="str">
        <v>sint@uni-wuerzburg.de</v>
      </c>
      <c r="B12" t="str">
        <v>University if Würzburg</v>
      </c>
      <c r="C12" t="str">
        <v>Würzburg</v>
      </c>
      <c r="D12" t="b">
        <v>0</v>
      </c>
      <c r="E12" t="b">
        <v>0</v>
      </c>
      <c r="G12" t="b">
        <v>0</v>
      </c>
      <c r="H12" t="b">
        <v>0</v>
      </c>
    </row>
    <row r="13">
      <c r="A13" t="str">
        <v>post@verwaltung.uni-hohenheim.de</v>
      </c>
      <c r="B13" t="str">
        <v>University of Hohenheim</v>
      </c>
      <c r="C13" t="str">
        <v>Hohenheim</v>
      </c>
      <c r="D13" t="b">
        <v>0</v>
      </c>
      <c r="E13" t="b">
        <v>0</v>
      </c>
      <c r="G13" t="b">
        <v>0</v>
      </c>
      <c r="H13" t="b">
        <v>0</v>
      </c>
    </row>
    <row r="14">
      <c r="A14" t="str">
        <v>daniela.englisch@uni-ulm.de</v>
      </c>
      <c r="B14" t="str">
        <v>Universität Ülm</v>
      </c>
      <c r="C14" t="str">
        <v>Ülm</v>
      </c>
      <c r="D14" t="b">
        <v>0</v>
      </c>
      <c r="E14" t="b">
        <v>0</v>
      </c>
    </row>
    <row r="15">
      <c r="A15" t="str">
        <v>international@international.uni-mainz.de</v>
      </c>
      <c r="B15" t="str">
        <v>Johannes Gutenberg Universität Mainz</v>
      </c>
      <c r="C15" t="str">
        <v>Mainz</v>
      </c>
      <c r="D15" t="b">
        <v>0</v>
      </c>
      <c r="E15" t="b">
        <v>0</v>
      </c>
    </row>
    <row r="16">
      <c r="A16" t="str">
        <v>sabrina.lundstroem@admin.uni-giessen.de</v>
      </c>
      <c r="B16" t="str">
        <v>Justus-Liebig-Universität Giessen</v>
      </c>
      <c r="C16" t="str">
        <v>Giessen</v>
      </c>
      <c r="D16" t="b">
        <v>0</v>
      </c>
      <c r="E16" t="b">
        <v>0</v>
      </c>
    </row>
    <row r="17">
      <c r="A17" t="str">
        <v>researchmobility@uni-passau.de</v>
      </c>
      <c r="B17" t="str">
        <v>University of Passau</v>
      </c>
      <c r="C17" t="str">
        <v>Passau</v>
      </c>
      <c r="D17" t="b">
        <v>0</v>
      </c>
      <c r="E17" t="b">
        <v>1</v>
      </c>
    </row>
    <row r="18">
      <c r="A18" t="str">
        <v>sarah.wilewski@leuphana.de</v>
      </c>
      <c r="B18" t="str">
        <v>Leuphana University Lüneburg</v>
      </c>
      <c r="C18" t="str">
        <v>Lüneburg</v>
      </c>
      <c r="D18" t="b">
        <v>0</v>
      </c>
      <c r="E18" t="b">
        <v>0</v>
      </c>
    </row>
    <row r="19">
      <c r="A19" t="str">
        <v>international@uni-erfurt.de</v>
      </c>
      <c r="B19" t="str">
        <v>Universität Erfurt</v>
      </c>
      <c r="C19" t="str">
        <v>Erfurt</v>
      </c>
      <c r="D19" t="b">
        <v>0</v>
      </c>
      <c r="E19" t="b">
        <v>0</v>
      </c>
      <c r="J19" t="str">
        <v>De email die er stond was van een persoon met pensioen, heb een mail naar het nieuwe mail adres verstuurd.</v>
      </c>
    </row>
    <row r="20">
      <c r="A20" t="str">
        <v>praxis.studi@hwr-berlin.de</v>
      </c>
      <c r="B20" t="str">
        <v>Hochschule für Wirtschaft und Recht Berlin</v>
      </c>
      <c r="C20" t="str">
        <v>Berlin</v>
      </c>
      <c r="D20" t="b">
        <v>0</v>
      </c>
      <c r="E20" t="b">
        <v>0</v>
      </c>
      <c r="F20" t="str">
        <v>https://gopraktikum.hwr-berlin.de/en</v>
      </c>
    </row>
    <row r="21">
      <c r="A21" t="str">
        <v>international@uni-leipzig.de</v>
      </c>
      <c r="B21" t="str">
        <v>Universität Leipzig</v>
      </c>
      <c r="C21" t="str">
        <v>Leipzig</v>
      </c>
      <c r="D21" t="b">
        <v>0</v>
      </c>
      <c r="E21" t="b">
        <v>0</v>
      </c>
    </row>
    <row r="22">
      <c r="A22" t="str">
        <v>hillemann-delaney@tu-berlin.de</v>
      </c>
      <c r="B22" t="str">
        <v>Technische Universität Berlin</v>
      </c>
      <c r="C22" t="str">
        <v>Berlin</v>
      </c>
      <c r="D22" t="b">
        <v>0</v>
      </c>
      <c r="E22" t="b">
        <v>0</v>
      </c>
    </row>
    <row r="23">
      <c r="A23" t="str">
        <v>europa@zv.uni-freiburg.de</v>
      </c>
      <c r="B23" t="str">
        <v>Universität Freiburg</v>
      </c>
      <c r="C23" t="str">
        <v>Freiburg</v>
      </c>
      <c r="D23" t="b">
        <v>0</v>
      </c>
      <c r="E23" t="b">
        <v>0</v>
      </c>
    </row>
    <row r="24">
      <c r="A24" t="str">
        <v>petra.kienle@verwaltung.de</v>
      </c>
      <c r="B24" t="str">
        <v>Universität Marburg</v>
      </c>
      <c r="C24" t="str">
        <v>Marburg</v>
      </c>
      <c r="D24" t="b">
        <v>0</v>
      </c>
      <c r="E24" t="b">
        <v>0</v>
      </c>
    </row>
    <row r="25">
      <c r="A25" t="str">
        <v>erasmus@uni-greifswald.de</v>
      </c>
      <c r="B25" t="str">
        <v>Universität Greifswald</v>
      </c>
      <c r="C25" t="str">
        <v>Greifswald</v>
      </c>
      <c r="D25" t="b">
        <v>0</v>
      </c>
      <c r="E25" t="b">
        <v>0</v>
      </c>
    </row>
    <row r="26">
      <c r="D26" t="b">
        <v>0</v>
      </c>
      <c r="E26" t="b">
        <v>0</v>
      </c>
      <c r="G26" t="b">
        <v>0</v>
      </c>
      <c r="H26" t="b">
        <v>0</v>
      </c>
    </row>
    <row r="27">
      <c r="D27" t="b">
        <v>0</v>
      </c>
      <c r="E27" t="b">
        <v>0</v>
      </c>
      <c r="G27" t="b">
        <v>0</v>
      </c>
      <c r="H27" t="b">
        <v>0</v>
      </c>
    </row>
  </sheetData>
  <hyperlinks>
    <hyperlink ref="F2" r:id="rId1"/>
    <hyperlink ref="F20" r:id="rId2"/>
  </hyperlinks>
  <ignoredErrors>
    <ignoredError numberStoredAsText="1" sqref="A1:J687"/>
  </ignoredErrors>
</worksheet>
</file>

<file path=xl/worksheets/sheet13.xml><?xml version="1.0" encoding="utf-8"?>
<worksheet xmlns="http://schemas.openxmlformats.org/spreadsheetml/2006/main" xmlns:r="http://schemas.openxmlformats.org/officeDocument/2006/relationships">
  <dimension ref="A1:J27"/>
  <sheetViews>
    <sheetView workbookViewId="0" rightToLeft="0"/>
  </sheetViews>
  <sheetData>
    <row r="1">
      <c r="A1" t="str">
        <v>FREmailContact</v>
      </c>
      <c r="B1" t="str">
        <v>FRUniversityName</v>
      </c>
      <c r="C1" t="str">
        <v>City</v>
      </c>
      <c r="D1" t="str">
        <v>Interested?</v>
      </c>
      <c r="E1" t="str">
        <v>Gereageerd?</v>
      </c>
      <c r="F1" t="str">
        <v>Link to career portal</v>
      </c>
      <c r="G1" t="str">
        <v>Career Portal Sign Up</v>
      </c>
      <c r="H1" t="str">
        <v>Job posted?</v>
      </c>
      <c r="I1" t="str">
        <v>Renewal Date</v>
      </c>
      <c r="J1" t="str">
        <v>Notes</v>
      </c>
    </row>
    <row r="2">
      <c r="A2" t="str">
        <v>hectalents-employerengagement@hec.fr</v>
      </c>
      <c r="B2" t="str">
        <v>HEC Paris</v>
      </c>
      <c r="C2" t="str">
        <v>Paris</v>
      </c>
      <c r="D2" t="b">
        <v>0</v>
      </c>
      <c r="E2" t="b">
        <v>0</v>
      </c>
      <c r="G2" t="b">
        <v>0</v>
      </c>
      <c r="H2" t="b">
        <v>0</v>
      </c>
    </row>
    <row r="3">
      <c r="A3" t="str">
        <v>careers.fb@insead.edu</v>
      </c>
      <c r="B3" t="str">
        <v>INSEAD</v>
      </c>
      <c r="C3" t="str">
        <f>IFERROR(__xludf.DUMMYFUNCTION("AI(""The city of the university that is in the next row"")"),"Fontainebleau")</f>
        <v>Fontainebleau</v>
      </c>
      <c r="D3" t="b">
        <v>0</v>
      </c>
      <c r="E3" t="b">
        <v>0</v>
      </c>
      <c r="G3" t="b">
        <v>0</v>
      </c>
      <c r="H3" t="b">
        <v>0</v>
      </c>
    </row>
    <row r="4">
      <c r="A4" t="str">
        <v>plaine@essec.edu</v>
      </c>
      <c r="B4" t="str">
        <v>ESSEC Business School</v>
      </c>
      <c r="C4" t="str">
        <f>IFERROR(__xludf.DUMMYFUNCTION("AI(""The city of the university that is in the next row"")"),"Paris")</f>
        <v>Paris</v>
      </c>
      <c r="D4" t="b">
        <v>0</v>
      </c>
      <c r="E4" t="b">
        <v>0</v>
      </c>
      <c r="G4" t="b">
        <v>0</v>
      </c>
      <c r="H4" t="b">
        <v>0</v>
      </c>
    </row>
    <row r="5">
      <c r="A5" t="str">
        <v>cvillard@escpalumni.org</v>
      </c>
      <c r="B5" t="str">
        <v>ESCP Business School</v>
      </c>
      <c r="C5" t="str">
        <v>Paris</v>
      </c>
      <c r="D5" t="b">
        <v>0</v>
      </c>
      <c r="E5" t="b">
        <v>1</v>
      </c>
      <c r="F5" t="str">
        <v>https://www.escpalumni.org/en/espace-emploi/inscription</v>
      </c>
      <c r="G5" t="b">
        <v>0</v>
      </c>
      <c r="H5" t="b">
        <v>0</v>
      </c>
    </row>
    <row r="6">
      <c r="A6" t="str">
        <v>info@grenoble-em.com</v>
      </c>
      <c r="B6" t="str">
        <v>Grenoble Ecole de Management</v>
      </c>
      <c r="C6" t="str">
        <f>IFERROR(__xludf.DUMMYFUNCTION("AI(""The city of the university that is in the next row"")"),"Grenoble")</f>
        <v>Grenoble</v>
      </c>
      <c r="D6" t="b">
        <v>0</v>
      </c>
      <c r="E6" t="b">
        <v>0</v>
      </c>
      <c r="G6" t="b">
        <v>0</v>
      </c>
      <c r="H6" t="b">
        <v>0</v>
      </c>
    </row>
    <row r="7">
      <c r="A7" t="str">
        <v>career.center@dauphine.psl.eu</v>
      </c>
      <c r="B7" t="str">
        <v>Université Paris Dauphine-PSL</v>
      </c>
      <c r="C7" t="str">
        <f>IFERROR(__xludf.DUMMYFUNCTION("AI(""The city of the university that is in the next row"")"),"Paris")</f>
        <v>Paris</v>
      </c>
      <c r="D7" t="b">
        <v>1</v>
      </c>
      <c r="E7" t="b">
        <v>1</v>
      </c>
      <c r="F7" t="str">
        <v>https://dauphine.jobteaser.com/fr/recruiter_account/job_offers</v>
      </c>
      <c r="G7" t="b">
        <v>0</v>
      </c>
      <c r="H7" t="b">
        <v>0</v>
      </c>
    </row>
    <row r="8">
      <c r="A8" t="str">
        <v>careers@tse-fr.eu</v>
      </c>
      <c r="B8" t="str">
        <v>Toulouse School of Economics</v>
      </c>
      <c r="C8" t="str">
        <f>IFERROR(__xludf.DUMMYFUNCTION("AI(""The city of the university that is in the next row"")"),"Toulouse")</f>
        <v>Toulouse</v>
      </c>
      <c r="D8" t="b">
        <v>0</v>
      </c>
      <c r="E8" t="b">
        <v>0</v>
      </c>
      <c r="G8" t="b">
        <v>0</v>
      </c>
      <c r="H8" t="b">
        <v>0</v>
      </c>
    </row>
    <row r="9">
      <c r="A9" t="str">
        <v>corporaterelations@skema.edu</v>
      </c>
      <c r="B9" t="str">
        <v>SKEMA Business School</v>
      </c>
      <c r="C9" t="str">
        <f>IFERROR(__xludf.DUMMYFUNCTION("AI(""The city of the university that is in the next row"")"),"Paris, Lille, and Sophia Antipolis")</f>
        <v>Paris, Lille, and Sophia Antipolis</v>
      </c>
      <c r="D9" t="b">
        <v>0</v>
      </c>
      <c r="E9" t="b">
        <v>1</v>
      </c>
      <c r="F9" t="str">
        <v>https://www.skema.edu/en/find-your-future-talents?utm_source=microsoft&amp;utm_medium=paid&amp;utm_campaign=Marque</v>
      </c>
      <c r="G9" t="b">
        <v>0</v>
      </c>
      <c r="H9" t="b">
        <v>0</v>
      </c>
    </row>
    <row r="10" xml:space="preserve">
      <c r="A10" t="str">
        <v>stages-alternance@kedgebs.com</v>
      </c>
      <c r="B10" t="str">
        <v>KEDGE Business School</v>
      </c>
      <c r="C10" t="str">
        <f>IFERROR(__xludf.DUMMYFUNCTION("AI(""The city of the university that is in the next row"")"),"Marseille, Bordeaux, Paris, and Toulon")</f>
        <v>Marseille, Bordeaux, Paris, and Toulon</v>
      </c>
      <c r="D10" t="b">
        <v>0</v>
      </c>
      <c r="E10" t="b">
        <v>1</v>
      </c>
      <c r="F10" t="str" xml:space="preserve">
        <v xml:space="preserve">https://entreprise.kedge.edu/recrutez-nos-talents/deposer-une-offre
https://www.canva.com/design/DAHK1_sOxBg/VOojeXJt_CDBPgleY1svOg/view?utm_content=DAHK1_%E2%80%A6%20target=</v>
      </c>
      <c r="G10" t="b">
        <v>0</v>
      </c>
      <c r="H10" t="b">
        <v>0</v>
      </c>
    </row>
    <row r="11">
      <c r="A11" t="str">
        <v>communication.corporate@neoma-bs.fr</v>
      </c>
      <c r="B11" t="str">
        <v>NEOMA Business School</v>
      </c>
      <c r="C11" t="str">
        <f>IFERROR(__xludf.DUMMYFUNCTION("AI(""The city of the university that is in the next row"")"),"Reims, Rouen, and Paris")</f>
        <v>Reims, Rouen, and Paris</v>
      </c>
      <c r="D11" t="b">
        <v>0</v>
      </c>
      <c r="E11" t="b">
        <v>0</v>
      </c>
      <c r="G11" t="b">
        <v>0</v>
      </c>
      <c r="H11" t="b">
        <v>0</v>
      </c>
    </row>
    <row r="12">
      <c r="A12" t="str">
        <v>lettres-conventionsstages@sorbonne-universite.fr</v>
      </c>
      <c r="B12" t="str">
        <v>Sorbonne Université</v>
      </c>
      <c r="C12" t="str">
        <f>IFERROR(__xludf.DUMMYFUNCTION("AI(""The city of the university that is in the next row"")"),"Paris")</f>
        <v>Paris</v>
      </c>
      <c r="D12" t="b">
        <v>0</v>
      </c>
      <c r="E12" t="b">
        <v>0</v>
      </c>
      <c r="G12" t="b">
        <v>0</v>
      </c>
      <c r="H12" t="b">
        <v>0</v>
      </c>
    </row>
    <row r="13">
      <c r="A13" t="str">
        <v>scpo.carrieres@sciencespo.fr</v>
      </c>
      <c r="B13" t="str">
        <v>Sciences Po</v>
      </c>
      <c r="C13" t="str">
        <f>IFERROR(__xludf.DUMMYFUNCTION("AI(""The city of the university that is in the next row"")"),"Paris")</f>
        <v>Paris</v>
      </c>
      <c r="D13" t="b">
        <v>0</v>
      </c>
      <c r="E13" t="b">
        <v>1</v>
      </c>
      <c r="F13" t="str">
        <v>https://carrieres.sciencespo.fr/index.php/en/candidatOffres</v>
      </c>
      <c r="G13" t="b">
        <v>0</v>
      </c>
      <c r="H13" t="b">
        <v>0</v>
      </c>
    </row>
    <row r="14">
      <c r="A14" t="str">
        <v>espace-avenir@unistra.fr</v>
      </c>
      <c r="B14" t="str">
        <v>Université de Strasbourg</v>
      </c>
      <c r="C14" t="str">
        <f>IFERROR(__xludf.DUMMYFUNCTION("AI(""The city of the university that is in the next row"")"),"Strasbourg")</f>
        <v>Strasbourg</v>
      </c>
      <c r="D14" t="b">
        <v>0</v>
      </c>
      <c r="E14" t="b">
        <v>0</v>
      </c>
    </row>
    <row r="15">
      <c r="A15" t="str">
        <v>accueil.general@univ-lyon2.fr</v>
      </c>
      <c r="B15" t="str">
        <v>Université Lumière Lyon 2</v>
      </c>
      <c r="C15" t="str">
        <f>IFERROR(__xludf.DUMMYFUNCTION("AI(""The city of the university that is in the next row"")"),"Lyon")</f>
        <v>Lyon</v>
      </c>
      <c r="D15" t="b">
        <v>0</v>
      </c>
      <c r="E15" t="b">
        <v>1</v>
      </c>
      <c r="F15" t="str">
        <v>https://univ-lyon2.jobteaser.com/fr/recruiter_account/sign_in?back_to_after_login=%2Ffr%2Frecruiter_account%2Fjob_offers</v>
      </c>
    </row>
    <row r="16">
      <c r="A16" t="str">
        <v>reseaupro@u-paris.fr</v>
      </c>
      <c r="B16" t="str">
        <v>Université Paris Cité</v>
      </c>
      <c r="C16" t="str">
        <f>IFERROR(__xludf.DUMMYFUNCTION("AI(""The city of the university that is in the next row"")"),"Paris")</f>
        <v>Paris</v>
      </c>
      <c r="D16" t="b">
        <v>0</v>
      </c>
      <c r="E16" t="b">
        <v>0</v>
      </c>
    </row>
    <row r="17">
      <c r="A17" t="str">
        <v>carrieres@ax.polytechnique.org</v>
      </c>
      <c r="B17" t="str">
        <v>École Polytechnique</v>
      </c>
      <c r="C17" t="str">
        <f>IFERROR(__xludf.DUMMYFUNCTION("AI(""The city of the university that is in the next row"")"),"Palaiseau")</f>
        <v>Palaiseau</v>
      </c>
      <c r="D17" t="b">
        <v>0</v>
      </c>
      <c r="E17" t="b">
        <v>0</v>
      </c>
    </row>
    <row r="18">
      <c r="A18" t="str">
        <v>relationsentreprises@telecom-paris.fr</v>
      </c>
      <c r="B18" t="str">
        <v>Télécom Paris</v>
      </c>
      <c r="C18" t="str">
        <f>IFERROR(__xludf.DUMMYFUNCTION("AI(""The city of the university that is in the next row"")"),"Palaiseau")</f>
        <v>Palaiseau</v>
      </c>
      <c r="D18" t="b">
        <v>0</v>
      </c>
      <c r="E18" t="b">
        <v>0</v>
      </c>
    </row>
    <row r="19">
      <c r="A19" t="str">
        <v>insertion.professionnelle@universite-paris-saclay.fr</v>
      </c>
      <c r="B19" t="str">
        <v>Université Paris-Saclay</v>
      </c>
      <c r="C19" t="str">
        <f>IFERROR(__xludf.DUMMYFUNCTION("AI(""The city of the university that is in the next row"")"),"Gif-sur-Yvette")</f>
        <v>Gif-sur-Yvette</v>
      </c>
      <c r="D19" t="b">
        <v>0</v>
      </c>
      <c r="E19" t="b">
        <v>0</v>
      </c>
    </row>
    <row r="20">
      <c r="A20" t="str">
        <v>soie@univ-lyon1.fr</v>
      </c>
      <c r="B20" t="str">
        <v>Université Claude Bernard Lyon 1</v>
      </c>
      <c r="C20" t="str">
        <f>IFERROR(__xludf.DUMMYFUNCTION("AI(""The city of the university that is in the next row"")"),"Lille")</f>
        <v>Lille</v>
      </c>
      <c r="D20" t="b">
        <v>0</v>
      </c>
      <c r="E20" t="b">
        <v>0</v>
      </c>
    </row>
    <row r="21">
      <c r="A21" t="str">
        <v>corporateconnections@edhec.edu</v>
      </c>
      <c r="B21" t="str">
        <v>EDHEC Business School</v>
      </c>
      <c r="C21" t="str">
        <f>IFERROR(__xludf.DUMMYFUNCTION("AI(""The city of the university that is in the next row"")"),"Lille")</f>
        <v>Lille</v>
      </c>
      <c r="D21" t="b">
        <v>0</v>
      </c>
      <c r="E21" t="b">
        <v>0</v>
      </c>
    </row>
    <row r="22">
      <c r="A22" t="str">
        <v>careercenter@em-lyon.com</v>
      </c>
      <c r="B22" t="str">
        <v>emlyon business school</v>
      </c>
      <c r="C22" t="str">
        <f>IFERROR(__xludf.DUMMYFUNCTION("AI(""The city of the university that is in the next row"")"),"Lyon")</f>
        <v>Lyon</v>
      </c>
      <c r="D22" t="b">
        <v>0</v>
      </c>
      <c r="E22" t="b">
        <v>1</v>
      </c>
      <c r="F22" t="str">
        <v>https://em-lyon.jobteaser.com/en/recruiter-solutions</v>
      </c>
      <c r="J22" t="str">
        <v>https://helpcenter.jobteaser.com/hc/fr/articles/360001437077 Tutorial kijken</v>
      </c>
    </row>
    <row r="23">
      <c r="A23" t="str">
        <v>audenciacareers@audencia.com</v>
      </c>
      <c r="B23" t="str">
        <v>Audencia Business School</v>
      </c>
      <c r="C23" t="str">
        <f>IFERROR(__xludf.DUMMYFUNCTION("AI(""The city of the university that is in the next row"")"),"Nantes")</f>
        <v>Nantes</v>
      </c>
      <c r="D23" t="b">
        <v>0</v>
      </c>
      <c r="E23" t="b">
        <v>0</v>
      </c>
    </row>
    <row r="24">
      <c r="A24" t="str">
        <v>corporate-relations@tbs-education.com</v>
      </c>
      <c r="B24" t="str">
        <v>TBS Education</v>
      </c>
      <c r="C24" t="str">
        <f>IFERROR(__xludf.DUMMYFUNCTION("AI(""The city of the university that is in the next row"")"),"Lille")</f>
        <v>Lille</v>
      </c>
      <c r="D24" t="b">
        <v>0</v>
      </c>
      <c r="E24" t="b">
        <v>0</v>
      </c>
      <c r="J24" t="str">
        <v>Email werkt niet vandaar tijdelijk rood</v>
      </c>
    </row>
    <row r="25">
      <c r="A25" t="str">
        <v>stages@ieseg.fr</v>
      </c>
      <c r="B25" t="str">
        <v>IÉSEG School of Management</v>
      </c>
      <c r="C25" t="str">
        <f>IFERROR(__xludf.DUMMYFUNCTION("AI(""The city of the university that is in the next row"")"),"Lille and Paris")</f>
        <v>Lille and Paris</v>
      </c>
      <c r="D25" t="b">
        <v>1</v>
      </c>
      <c r="E25" t="b">
        <v>1</v>
      </c>
      <c r="F25" t="str">
        <v>https://ieseg.jobteaser.com/fr/recruiter-solutions</v>
      </c>
    </row>
    <row r="26">
      <c r="A26" t="str">
        <v>recrutement.alternance@rennes-sb.com</v>
      </c>
      <c r="B26" t="str">
        <v>Rennes School of Business</v>
      </c>
      <c r="C26" t="str">
        <f>IFERROR(__xludf.DUMMYFUNCTION("AI(""The city of the university that is in the next row"")"),"Rennes")</f>
        <v>Rennes</v>
      </c>
      <c r="D26" t="b">
        <v>0</v>
      </c>
      <c r="E26" t="b">
        <v>0</v>
      </c>
    </row>
    <row r="27">
      <c r="A27" t="str">
        <v>entreprises@excelia-group.com</v>
      </c>
      <c r="B27" t="str">
        <v>Excelia Business School</v>
      </c>
      <c r="C27" t="str">
        <f>IFERROR(__xludf.DUMMYFUNCTION("AI(""The city of the university that is in the next row"")"),"La Rochelle, Tours, Orleans, and Paris")</f>
        <v>La Rochelle, Tours, Orleans, and Paris</v>
      </c>
      <c r="D27" t="b">
        <v>1</v>
      </c>
      <c r="E27" t="b">
        <v>0</v>
      </c>
      <c r="F27" t="str">
        <v>https://excelia.jobteaser.com/en/backend/job-offers?tab=pending</v>
      </c>
      <c r="G27" t="b">
        <v>1</v>
      </c>
      <c r="H27" t="b">
        <v>1</v>
      </c>
      <c r="I27">
        <v>46537</v>
      </c>
    </row>
  </sheetData>
  <hyperlinks>
    <hyperlink ref="F5" r:id="rId1"/>
    <hyperlink ref="F7" r:id="rId2"/>
    <hyperlink ref="F9" r:id="rId3"/>
    <hyperlink ref="F10" r:id="rId4"/>
    <hyperlink ref="F13" r:id="rId5"/>
    <hyperlink ref="F15" r:id="rId6"/>
    <hyperlink ref="F22" r:id="rId7"/>
    <hyperlink ref="J22" r:id="rId8"/>
    <hyperlink ref="F25" r:id="rId9"/>
    <hyperlink ref="F27" r:id="rId10"/>
  </hyperlinks>
  <ignoredErrors>
    <ignoredError numberStoredAsText="1" sqref="A1:J27"/>
  </ignoredErrors>
</worksheet>
</file>

<file path=xl/worksheets/sheet14.xml><?xml version="1.0" encoding="utf-8"?>
<worksheet xmlns="http://schemas.openxmlformats.org/spreadsheetml/2006/main" xmlns:r="http://schemas.openxmlformats.org/officeDocument/2006/relationships">
  <dimension ref="A1:J687"/>
  <sheetViews>
    <sheetView workbookViewId="0" rightToLeft="0"/>
  </sheetViews>
  <sheetData>
    <row r="1">
      <c r="A1" t="str">
        <v>NLEmailContact</v>
      </c>
      <c r="B1" t="str">
        <v>NLUniversityName</v>
      </c>
      <c r="C1" t="str">
        <v>City</v>
      </c>
      <c r="D1" t="str">
        <v>Interested?</v>
      </c>
      <c r="E1" t="str">
        <v>Gereageerd?</v>
      </c>
      <c r="F1" t="str">
        <v>Link to career portal</v>
      </c>
      <c r="G1" t="str">
        <v>Career Portal Sign Up</v>
      </c>
      <c r="H1" t="str">
        <v>On board?</v>
      </c>
      <c r="I1" t="str">
        <v>Renewal Date</v>
      </c>
      <c r="J1" t="str">
        <v>Notes</v>
      </c>
    </row>
    <row r="2">
      <c r="A2" t="str">
        <v>studentcareerscentre@uva.nl</v>
      </c>
      <c r="B2" t="str">
        <v>University of Amsterdam</v>
      </c>
      <c r="C2" t="str">
        <v>Amsterdam</v>
      </c>
      <c r="D2" t="b">
        <v>0</v>
      </c>
      <c r="E2" t="b">
        <v>0</v>
      </c>
      <c r="F2" t="str">
        <v>https://www.uva.nl/en/about-the-uva/collaborate-with-the-uva/employ-uva-talent/post-a-vacancy</v>
      </c>
      <c r="G2" t="b">
        <v>0</v>
      </c>
      <c r="H2" t="b">
        <v>0</v>
      </c>
    </row>
    <row r="3">
      <c r="A3" t="str">
        <v>careerservices.sbe@vu.nl</v>
      </c>
      <c r="B3" t="str">
        <v>Vrije Universiteit Amsterdam</v>
      </c>
      <c r="C3" t="str">
        <f>IFERROR(__xludf.DUMMYFUNCTION("AI(""The city that the University in the row beside resides in"")"),"Amsterdam")</f>
        <v>Amsterdam</v>
      </c>
      <c r="D3" t="b">
        <v>1</v>
      </c>
      <c r="E3" t="b">
        <v>0</v>
      </c>
      <c r="F3" t="str">
        <v>https://vu-sbe.jobteaser.com/en/recruiter-solutions</v>
      </c>
      <c r="G3" t="b">
        <v>1</v>
      </c>
      <c r="H3" t="b">
        <v>1</v>
      </c>
      <c r="I3">
        <v>46387</v>
      </c>
    </row>
    <row r="4">
      <c r="A4" t="str">
        <v>careerservices@eur.nl</v>
      </c>
      <c r="B4" t="str">
        <v>Erasmus University Rotterdam</v>
      </c>
      <c r="C4" t="str">
        <f>IFERROR(__xludf.DUMMYFUNCTION("AI(""The city that the University in the row beside resides in"")"),"Rotterdam")</f>
        <v>Rotterdam</v>
      </c>
      <c r="D4" t="b">
        <v>0</v>
      </c>
      <c r="E4" t="b">
        <v>0</v>
      </c>
      <c r="G4" t="b">
        <v>0</v>
      </c>
      <c r="H4" t="b">
        <v>0</v>
      </c>
    </row>
    <row r="5">
      <c r="A5" t="str">
        <v>careercentre@rsm.nl</v>
      </c>
      <c r="B5" t="str">
        <v>Rotterdam School of Management, Erasmus University</v>
      </c>
      <c r="C5" t="str">
        <f>IFERROR(__xludf.DUMMYFUNCTION("AI(""The city that the University in the row beside resides in"")"),"Rotterdam")</f>
        <v>Rotterdam</v>
      </c>
      <c r="D5" t="b">
        <v>0</v>
      </c>
      <c r="E5" t="b">
        <v>0</v>
      </c>
      <c r="G5" t="b">
        <v>0</v>
      </c>
      <c r="H5" t="b">
        <v>0</v>
      </c>
    </row>
    <row r="6">
      <c r="A6" t="str">
        <v>careerservices@uu.nl</v>
      </c>
      <c r="B6" t="str">
        <v>Utrecht University</v>
      </c>
      <c r="C6" t="str">
        <f>IFERROR(__xludf.DUMMYFUNCTION("AI(""The city that the University in the row beside resides in"")"),"Utrecht")</f>
        <v>Utrecht</v>
      </c>
      <c r="D6" t="b">
        <v>0</v>
      </c>
      <c r="E6" t="b">
        <v>0</v>
      </c>
      <c r="G6" t="b">
        <v>0</v>
      </c>
      <c r="H6" t="b">
        <v>0</v>
      </c>
    </row>
    <row r="7">
      <c r="A7" t="str">
        <v>careerservices@sea.leidenuniv.nl</v>
      </c>
      <c r="B7" t="str">
        <v>Leiden University</v>
      </c>
      <c r="C7" t="str">
        <v>Leiden</v>
      </c>
      <c r="D7" t="b">
        <v>0</v>
      </c>
      <c r="E7" t="b">
        <v>0</v>
      </c>
      <c r="G7" t="b">
        <v>0</v>
      </c>
      <c r="H7" t="b">
        <v>0</v>
      </c>
    </row>
    <row r="8">
      <c r="A8" t="str">
        <v>studentcareerservices@tilburguniversity.edu</v>
      </c>
      <c r="B8" t="str">
        <v>Tilburg University</v>
      </c>
      <c r="C8" t="str">
        <f>IFERROR(__xludf.DUMMYFUNCTION("AI(""The city that the University in the row beside resides in"")"),"Tilburg")</f>
        <v>Tilburg</v>
      </c>
      <c r="D8" t="b">
        <v>0</v>
      </c>
      <c r="E8" t="b">
        <v>0</v>
      </c>
      <c r="G8" t="b">
        <v>0</v>
      </c>
      <c r="H8" t="b">
        <v>0</v>
      </c>
    </row>
    <row r="9">
      <c r="A9" t="str">
        <v>careerservices@maastrichtuniversity.nl</v>
      </c>
      <c r="B9" t="str">
        <v>Maastricht University</v>
      </c>
      <c r="C9" t="str">
        <f>IFERROR(__xludf.DUMMYFUNCTION("AI(""The city that the University in the row beside resides in"")"),"Maastricht")</f>
        <v>Maastricht</v>
      </c>
      <c r="D9" t="b">
        <v>0</v>
      </c>
      <c r="E9" t="b">
        <v>0</v>
      </c>
      <c r="G9" t="b">
        <v>0</v>
      </c>
      <c r="H9" t="b">
        <v>0</v>
      </c>
    </row>
    <row r="10">
      <c r="A10" t="str">
        <v>internships.feb@rug.nl</v>
      </c>
      <c r="B10" t="str">
        <v>University of Groningen</v>
      </c>
      <c r="C10" t="str">
        <f>IFERROR(__xludf.DUMMYFUNCTION("AI(""The city that the University in the row beside resides in"")"),"Groningen")</f>
        <v>Groningen</v>
      </c>
      <c r="D10" t="b">
        <v>0</v>
      </c>
      <c r="E10" t="b">
        <v>0</v>
      </c>
      <c r="G10" t="b">
        <v>0</v>
      </c>
      <c r="H10" t="b">
        <v>0</v>
      </c>
    </row>
    <row r="11">
      <c r="A11" t="str">
        <v>careerservice@ru.nl</v>
      </c>
      <c r="B11" t="str">
        <v>Radboud University</v>
      </c>
      <c r="C11" t="str">
        <f>IFERROR(__xludf.DUMMYFUNCTION("AI(""The city that the University in the row beside resides in"")"),"Nijmegen")</f>
        <v>Nijmegen</v>
      </c>
      <c r="D11" t="b">
        <v>0</v>
      </c>
      <c r="E11" t="b">
        <v>0</v>
      </c>
      <c r="G11" t="b">
        <v>0</v>
      </c>
      <c r="H11" t="b">
        <v>0</v>
      </c>
      <c r="J11" t="str">
        <v>Not Interested</v>
      </c>
    </row>
    <row r="12">
      <c r="A12" t="str">
        <v>careercentre@tudelft.nl</v>
      </c>
      <c r="B12" t="str">
        <v>Delft University of Technology</v>
      </c>
      <c r="C12" t="str">
        <f>IFERROR(__xludf.DUMMYFUNCTION("AI(""The city that the University in the row beside resides in"")"),"Delft")</f>
        <v>Delft</v>
      </c>
      <c r="D12" t="b">
        <v>0</v>
      </c>
      <c r="E12" t="b">
        <v>0</v>
      </c>
      <c r="F12" t="str">
        <v>https://tudelft.jobteaser.com/en/recruiter_account/sign_in</v>
      </c>
      <c r="G12" t="b">
        <v>0</v>
      </c>
      <c r="H12" t="b">
        <v>0</v>
      </c>
    </row>
    <row r="13">
      <c r="A13" t="str">
        <v>careeracademy@tue.nl</v>
      </c>
      <c r="B13" t="str">
        <v>Eindhoven University of Technology</v>
      </c>
      <c r="C13" t="str">
        <f>IFERROR(__xludf.DUMMYFUNCTION("AI(""The city that the University in the row beside resides in"")"),"Eindhoven")</f>
        <v>Eindhoven</v>
      </c>
      <c r="D13" t="b">
        <v>0</v>
      </c>
      <c r="E13" t="b">
        <v>0</v>
      </c>
      <c r="G13" t="b">
        <v>0</v>
      </c>
      <c r="H13" t="b">
        <v>0</v>
      </c>
    </row>
    <row r="14">
      <c r="A14" t="str">
        <v>studentcareerservices@wur.nl</v>
      </c>
      <c r="B14" t="str">
        <v>Wageningen University &amp; Research</v>
      </c>
      <c r="C14" t="str">
        <f>IFERROR(__xludf.DUMMYFUNCTION("AI(""The city that the University in the row beside resides in"")"),"Wageningen")</f>
        <v>Wageningen</v>
      </c>
      <c r="D14" t="b">
        <v>0</v>
      </c>
      <c r="E14" t="b">
        <v>0</v>
      </c>
      <c r="G14" t="b">
        <v>0</v>
      </c>
      <c r="H14" t="b">
        <v>0</v>
      </c>
    </row>
    <row r="15">
      <c r="A15" t="str">
        <v>info-co-cb@hva.nl</v>
      </c>
      <c r="B15" t="str">
        <v>Amsterdam University of Applied Sciences</v>
      </c>
      <c r="C15" t="str">
        <f>IFERROR(__xludf.DUMMYFUNCTION("AI(""The city that the University in the row beside resides in"")"),"Amsterdam")</f>
        <v>Amsterdam</v>
      </c>
      <c r="D15" t="b">
        <v>0</v>
      </c>
      <c r="E15" t="b">
        <v>0</v>
      </c>
      <c r="G15" t="b">
        <v>0</v>
      </c>
      <c r="H15" t="b">
        <v>0</v>
      </c>
    </row>
    <row r="16">
      <c r="A16" t="str">
        <v>rbs-connect@hr.nl</v>
      </c>
      <c r="B16" t="str">
        <v>Rotterdam University of Applied Sciences</v>
      </c>
      <c r="C16" t="str">
        <f>IFERROR(__xludf.DUMMYFUNCTION("AI(""The city that the University in the row beside resides in"")"),"Rotterdam")</f>
        <v>Rotterdam</v>
      </c>
      <c r="D16" t="b">
        <v>0</v>
      </c>
      <c r="E16" t="b">
        <v>0</v>
      </c>
      <c r="G16" t="b">
        <v>0</v>
      </c>
      <c r="H16" t="b">
        <v>0</v>
      </c>
    </row>
    <row r="17">
      <c r="A17" t="str">
        <v>externalrelations@hhs.nl</v>
      </c>
      <c r="B17" t="str">
        <v>The Hague University of Applied Sciences</v>
      </c>
      <c r="C17" t="str">
        <f>IFERROR(__xludf.DUMMYFUNCTION("AI(""The city that the University in the row beside resides in"")"),"The Hague")</f>
        <v>The Hague</v>
      </c>
      <c r="D17" t="b">
        <v>0</v>
      </c>
      <c r="E17" t="b">
        <v>0</v>
      </c>
      <c r="G17" t="b">
        <v>0</v>
      </c>
      <c r="H17" t="b">
        <v>0</v>
      </c>
    </row>
    <row r="18">
      <c r="A18" t="str">
        <v>careerservices@hu.nl</v>
      </c>
      <c r="B18" t="str">
        <v>HU University of Applied Sciences Utrecht</v>
      </c>
      <c r="C18" t="str">
        <f>IFERROR(__xludf.DUMMYFUNCTION("AI(""The city that the University in the row beside resides in"")"),"Utrecht")</f>
        <v>Utrecht</v>
      </c>
      <c r="D18" t="b">
        <v>0</v>
      </c>
      <c r="E18" t="b">
        <v>0</v>
      </c>
      <c r="G18" t="b">
        <v>0</v>
      </c>
      <c r="H18" t="b">
        <v>0</v>
      </c>
    </row>
    <row r="19">
      <c r="A19" t="str">
        <v>careercentre@fontys.nl</v>
      </c>
      <c r="B19" t="str">
        <v>Fontys University of Applied Sciences</v>
      </c>
      <c r="C19" t="str">
        <v>Eindhoven</v>
      </c>
      <c r="D19" t="b">
        <v>0</v>
      </c>
      <c r="E19" t="b">
        <v>0</v>
      </c>
      <c r="G19" t="b">
        <v>0</v>
      </c>
      <c r="H19" t="b">
        <v>0</v>
      </c>
    </row>
    <row r="20">
      <c r="A20" t="str">
        <v>ask@han.nl</v>
      </c>
      <c r="B20" t="str">
        <v>HAN University of Applied Sciences</v>
      </c>
      <c r="C20" t="str">
        <v>Arnhem</v>
      </c>
      <c r="D20" t="b">
        <v>0</v>
      </c>
      <c r="E20" t="b">
        <v>0</v>
      </c>
      <c r="G20" t="b">
        <v>0</v>
      </c>
      <c r="H20" t="b">
        <v>0</v>
      </c>
    </row>
    <row r="21">
      <c r="A21" t="str">
        <v>connect@avans.nl</v>
      </c>
      <c r="B21" t="str">
        <v>Avans University of Applied Sciences</v>
      </c>
      <c r="C21" t="str">
        <v>Breda</v>
      </c>
      <c r="D21" t="b">
        <v>0</v>
      </c>
      <c r="E21" t="b">
        <v>0</v>
      </c>
      <c r="G21" t="b">
        <v>0</v>
      </c>
      <c r="H21" t="b">
        <v>0</v>
      </c>
    </row>
    <row r="22">
      <c r="A22" t="str">
        <v>studentcareerservices@buas.nl</v>
      </c>
      <c r="B22" t="str">
        <v>Breda University of Applied Sciences</v>
      </c>
      <c r="C22" t="str">
        <f>IFERROR(__xludf.DUMMYFUNCTION("AI(""The city that the University in the row beside resides in"")"),"Breda")</f>
        <v>Breda</v>
      </c>
      <c r="D22" t="b">
        <v>0</v>
      </c>
      <c r="E22" t="b">
        <v>0</v>
      </c>
      <c r="G22" t="b">
        <v>0</v>
      </c>
      <c r="H22" t="b">
        <v>0</v>
      </c>
    </row>
    <row r="23">
      <c r="A23" t="str">
        <v>studentinfo@nhlstenden.com</v>
      </c>
      <c r="B23" t="str">
        <v>NHL Stenden University of Applied Sciences</v>
      </c>
      <c r="C23" t="str">
        <f>IFERROR(__xludf.DUMMYFUNCTION("AI(""The city that the University in the row beside resides in"")"),"Leeuwarden")</f>
        <v>Leeuwarden</v>
      </c>
      <c r="D23" t="b">
        <v>0</v>
      </c>
      <c r="E23" t="b">
        <v>0</v>
      </c>
      <c r="G23" t="b">
        <v>0</v>
      </c>
      <c r="H23" t="b">
        <v>0</v>
      </c>
    </row>
    <row r="24">
      <c r="A24" t="str">
        <v>frontoffice.ama@saxion.nl</v>
      </c>
      <c r="B24" t="str">
        <v>Saxion University of Applied Sciences</v>
      </c>
      <c r="C24" t="str">
        <f>IFERROR(__xludf.DUMMYFUNCTION("AI(""The city that the University in the row beside resides in"")"),"Enschede, Deventer, and Apeldoorn")</f>
        <v>Enschede, Deventer, and Apeldoorn</v>
      </c>
      <c r="D24" t="b">
        <v>0</v>
      </c>
      <c r="E24" t="b">
        <v>0</v>
      </c>
      <c r="G24" t="b">
        <v>0</v>
      </c>
      <c r="H24" t="b">
        <v>0</v>
      </c>
    </row>
    <row r="25">
      <c r="A25" t="str">
        <v>info@org.hanze.nl</v>
      </c>
      <c r="B25" t="str">
        <v>Hanze University of Applied Sciences</v>
      </c>
      <c r="C25" t="str">
        <f>IFERROR(__xludf.DUMMYFUNCTION("AI(""The city that the University in the row beside resides in"")"),"Groningen")</f>
        <v>Groningen</v>
      </c>
      <c r="D25" t="b">
        <v>0</v>
      </c>
      <c r="E25" t="b">
        <v>0</v>
      </c>
      <c r="G25" t="b">
        <v>0</v>
      </c>
      <c r="H25" t="b">
        <v>0</v>
      </c>
    </row>
    <row r="26">
      <c r="C26" t="str">
        <f>IFERROR(__xludf.DUMMYFUNCTION("AI(""The city that the University in the row beside resides in"")"),"I do not have enough information to answer the query. I am missing the name of the university in the corresponding row to determine its city.")</f>
        <v>I do not have enough information to answer the query. I am missing the name of the university in the corresponding row to determine its city.</v>
      </c>
      <c r="D26" t="b">
        <v>0</v>
      </c>
      <c r="E26" t="b">
        <v>0</v>
      </c>
      <c r="G26" t="b">
        <v>0</v>
      </c>
      <c r="H26" t="b">
        <v>0</v>
      </c>
    </row>
    <row r="27">
      <c r="C27" t="str">
        <f>IFERROR(__xludf.DUMMYFUNCTION("AI(""The city that the University in the row beside resides in"")"),"I do not have enough information to answer the query because the university name for this row is missing from the spreadsheet context.")</f>
        <v>I do not have enough information to answer the query because the university name for this row is missing from the spreadsheet context.</v>
      </c>
      <c r="D27" t="b">
        <v>0</v>
      </c>
      <c r="E27" t="b">
        <v>0</v>
      </c>
      <c r="G27" t="b">
        <v>0</v>
      </c>
      <c r="H27" t="b">
        <v>0</v>
      </c>
    </row>
    <row r="28">
      <c r="C28" t="str">
        <f>IFERROR(__xludf.DUMMYFUNCTION("AI(""The city that the University in the row beside resides in"")"),"I do not have enough information to answer the query. The university name in the row beside is missing from the provided context. Please provide the university name to find its city.")</f>
        <v>I do not have enough information to answer the query. The university name in the row beside is missing from the provided context. Please provide the university name to find its city.</v>
      </c>
      <c r="D28" t="b">
        <v>0</v>
      </c>
      <c r="E28" t="b">
        <v>0</v>
      </c>
      <c r="G28" t="b">
        <v>0</v>
      </c>
      <c r="H28" t="b">
        <v>0</v>
      </c>
    </row>
    <row r="29">
      <c r="C29" t="str">
        <f>IFERROR(__xludf.DUMMYFUNCTION("AI(""The city that the University in the row beside resides in"")"),"I do not have enough information to answer the query. I am missing the university name in row 29 to determine the city it resides in.")</f>
        <v>I do not have enough information to answer the query. I am missing the university name in row 29 to determine the city it resides in.</v>
      </c>
      <c r="D29" t="b">
        <v>0</v>
      </c>
      <c r="E29" t="b">
        <v>0</v>
      </c>
      <c r="G29" t="b">
        <v>0</v>
      </c>
      <c r="H29" t="b">
        <v>0</v>
      </c>
    </row>
    <row r="30">
      <c r="C30" t="str">
        <f>IFERROR(__xludf.DUMMYFUNCTION("AI(""The city that the University in the row beside resides in"")"),"I do not have enough information to answer the query because the university name is missing from the context.")</f>
        <v>I do not have enough information to answer the query because the university name is missing from the context.</v>
      </c>
      <c r="D30" t="b">
        <v>0</v>
      </c>
      <c r="E30" t="b">
        <v>0</v>
      </c>
      <c r="G30" t="b">
        <v>0</v>
      </c>
      <c r="H30" t="b">
        <v>0</v>
      </c>
    </row>
    <row r="31">
      <c r="C31" t="str">
        <f>IFERROR(__xludf.DUMMYFUNCTION("AI(""The city that the University in the row beside resides in"")"),"I do not have enough information to answer the query. I am missing the university name for this row.")</f>
        <v>I do not have enough information to answer the query. I am missing the university name for this row.</v>
      </c>
      <c r="D31" t="b">
        <v>0</v>
      </c>
      <c r="E31" t="b">
        <v>0</v>
      </c>
      <c r="G31" t="b">
        <v>0</v>
      </c>
      <c r="H31" t="b">
        <v>0</v>
      </c>
    </row>
    <row r="32">
      <c r="C32" t="str">
        <f>IFERROR(__xludf.DUMMYFUNCTION("AI(""The city that the University in the row beside resides in"")"),"=AI(""The city that the University in the row beside resides in"")")</f>
        <v>=AI("The city that the University in the row beside resides in")</v>
      </c>
      <c r="D32" t="b">
        <v>0</v>
      </c>
      <c r="E32" t="b">
        <v>0</v>
      </c>
      <c r="G32" t="b">
        <v>0</v>
      </c>
      <c r="H32" t="b">
        <v>0</v>
      </c>
    </row>
    <row r="33">
      <c r="C33" t="str">
        <f>IFERROR(__xludf.DUMMYFUNCTION("AI(""The city that the University in the row beside resides in"")"),"I do not have enough information to answer the query. I am missing the university name for this row to determine the city it resides in.")</f>
        <v>I do not have enough information to answer the query. I am missing the university name for this row to determine the city it resides in.</v>
      </c>
      <c r="D33" t="b">
        <v>0</v>
      </c>
      <c r="E33" t="b">
        <v>0</v>
      </c>
      <c r="G33" t="b">
        <v>0</v>
      </c>
      <c r="H33" t="b">
        <v>0</v>
      </c>
    </row>
    <row r="34">
      <c r="C34" t="str">
        <f>IFERROR(__xludf.DUMMYFUNCTION("AI(""The city that the University in the row beside resides in"")"),"=AI(""The city that the University in the row beside resides in"")")</f>
        <v>=AI("The city that the University in the row beside resides in")</v>
      </c>
      <c r="D34" t="b">
        <v>0</v>
      </c>
      <c r="E34" t="b">
        <v>0</v>
      </c>
      <c r="G34" t="b">
        <v>0</v>
      </c>
      <c r="H34" t="b">
        <v>0</v>
      </c>
    </row>
    <row r="35">
      <c r="C35" t="str">
        <f>IFERROR(__xludf.DUMMYFUNCTION("AI(""The city that the University in the row beside resides in"")"),"I do not have enough information to answer the query. I am missing the name of the university in row 35 to determine its city.")</f>
        <v>I do not have enough information to answer the query. I am missing the name of the university in row 35 to determine its city.</v>
      </c>
      <c r="D35" t="b">
        <v>0</v>
      </c>
      <c r="E35" t="b">
        <v>0</v>
      </c>
      <c r="G35" t="b">
        <v>0</v>
      </c>
      <c r="H35" t="b">
        <v>0</v>
      </c>
    </row>
    <row r="36">
      <c r="C36" t="str">
        <f>IFERROR(__xludf.DUMMYFUNCTION("AI(""The city that the University in the row beside resides in"")"),"I do not have enough information to determine the city because the university name for row 36 is missing from the provided data. Please ensure the university name column is populated.")</f>
        <v>I do not have enough information to determine the city because the university name for row 36 is missing from the provided data. Please ensure the university name column is populated.</v>
      </c>
      <c r="D36" t="b">
        <v>0</v>
      </c>
      <c r="E36" t="b">
        <v>0</v>
      </c>
      <c r="G36" t="b">
        <v>0</v>
      </c>
      <c r="H36" t="b">
        <v>0</v>
      </c>
    </row>
    <row r="37">
      <c r="C37" t="str">
        <f>IFERROR(__xludf.DUMMYFUNCTION("AI(""The city that the University in the row beside resides in"")"),"I do not have enough information to answer. The university name in the row beside row 37 is missing from the spreadsheet.")</f>
        <v>I do not have enough information to answer. The university name in the row beside row 37 is missing from the spreadsheet.</v>
      </c>
      <c r="D37" t="b">
        <v>0</v>
      </c>
      <c r="E37" t="b">
        <v>0</v>
      </c>
      <c r="G37" t="b">
        <v>0</v>
      </c>
      <c r="H37" t="b">
        <v>0</v>
      </c>
    </row>
    <row r="38">
      <c r="C38" t="str">
        <f>IFERROR(__xludf.DUMMYFUNCTION("AI(""The city that the University in the row beside resides in"")"),"=AI(""The city that the University in the row beside resides in"")")</f>
        <v>=AI("The city that the University in the row beside resides in")</v>
      </c>
      <c r="D38" t="b">
        <v>0</v>
      </c>
      <c r="E38" t="b">
        <v>0</v>
      </c>
      <c r="G38" t="b">
        <v>0</v>
      </c>
      <c r="H38" t="b">
        <v>0</v>
      </c>
    </row>
    <row r="39">
      <c r="C39" t="str">
        <f>IFERROR(__xludf.DUMMYFUNCTION("AI(""The city that the University in the row beside resides in"")"),"=AI(""The city that the University in the row beside resides in"")")</f>
        <v>=AI("The city that the University in the row beside resides in")</v>
      </c>
      <c r="D39" t="b">
        <v>0</v>
      </c>
      <c r="E39" t="b">
        <v>0</v>
      </c>
      <c r="G39" t="b">
        <v>0</v>
      </c>
      <c r="H39" t="b">
        <v>0</v>
      </c>
    </row>
    <row r="40">
      <c r="C40" t="str">
        <f>IFERROR(__xludf.DUMMYFUNCTION("AI(""The city that the University in the row beside resides in"")"),"I do not have enough information to answer the query. I am missing the university name in column B for this row to determine the city it resides in.")</f>
        <v>I do not have enough information to answer the query. I am missing the university name in column B for this row to determine the city it resides in.</v>
      </c>
      <c r="D40" t="b">
        <v>0</v>
      </c>
      <c r="E40" t="b">
        <v>0</v>
      </c>
      <c r="G40" t="b">
        <v>0</v>
      </c>
      <c r="H40" t="b">
        <v>0</v>
      </c>
    </row>
    <row r="41">
      <c r="C41" t="str">
        <f>IFERROR(__xludf.DUMMYFUNCTION("AI(""The city that the University in the row beside resides in"")"),"I do not have enough information to answer the query. I am missing the university name in row 41 to determine its city.")</f>
        <v>I do not have enough information to answer the query. I am missing the university name in row 41 to determine its city.</v>
      </c>
      <c r="D41" t="b">
        <v>0</v>
      </c>
      <c r="E41" t="b">
        <v>0</v>
      </c>
      <c r="G41" t="b">
        <v>0</v>
      </c>
      <c r="H41" t="b">
        <v>0</v>
      </c>
    </row>
    <row r="42">
      <c r="C42" t="str">
        <f>IFERROR(__xludf.DUMMYFUNCTION("AI(""The city that the University in the row beside resides in"")"),"I do not have enough information because the university name for this row is missing from the spreadsheet context.")</f>
        <v>I do not have enough information because the university name for this row is missing from the spreadsheet context.</v>
      </c>
      <c r="D42" t="b">
        <v>0</v>
      </c>
      <c r="E42" t="b">
        <v>0</v>
      </c>
      <c r="G42" t="b">
        <v>0</v>
      </c>
      <c r="H42" t="b">
        <v>0</v>
      </c>
    </row>
    <row r="43">
      <c r="C43" t="str">
        <f>IFERROR(__xludf.DUMMYFUNCTION("AI(""The city that the University in the row beside resides in"")"),"I do not have enough information to answer the query. I am missing the university name for this row to determine the city.")</f>
        <v>I do not have enough information to answer the query. I am missing the university name for this row to determine the city.</v>
      </c>
      <c r="D43" t="b">
        <v>0</v>
      </c>
      <c r="E43" t="b">
        <v>0</v>
      </c>
      <c r="G43" t="b">
        <v>0</v>
      </c>
      <c r="H43" t="b">
        <v>0</v>
      </c>
    </row>
    <row r="44">
      <c r="C44" t="str">
        <f>IFERROR(__xludf.DUMMYFUNCTION("AI(""The city that the University in the row beside resides in"")"),"I do not have enough information to determine the city because the university name in column B for this row is missing from the provided context. Please provide the university name to find its city.")</f>
        <v>I do not have enough information to determine the city because the university name in column B for this row is missing from the provided context. Please provide the university name to find its city.</v>
      </c>
      <c r="D44" t="b">
        <v>0</v>
      </c>
      <c r="E44" t="b">
        <v>0</v>
      </c>
      <c r="G44" t="b">
        <v>0</v>
      </c>
      <c r="H44" t="b">
        <v>0</v>
      </c>
    </row>
    <row r="45">
      <c r="C45" t="str">
        <f>IFERROR(__xludf.DUMMYFUNCTION("AI(""The city that the University in the row beside resides in"")"),"I do not have enough information to answer the query. I am missing the name of the university in row 45 to determine its city.")</f>
        <v>I do not have enough information to answer the query. I am missing the name of the university in row 45 to determine its city.</v>
      </c>
      <c r="D45" t="b">
        <v>0</v>
      </c>
      <c r="E45" t="b">
        <v>0</v>
      </c>
      <c r="G45" t="b">
        <v>0</v>
      </c>
      <c r="H45" t="b">
        <v>0</v>
      </c>
    </row>
    <row r="46">
      <c r="C46" t="str">
        <f>IFERROR(__xludf.DUMMYFUNCTION("AI(""The city that the University in the row beside resides in"")"),"I do not have enough information to answer the query. The university name in column B is missing for this row, which is required to determine the city.")</f>
        <v>I do not have enough information to answer the query. The university name in column B is missing for this row, which is required to determine the city.</v>
      </c>
      <c r="D46" t="b">
        <v>0</v>
      </c>
      <c r="E46" t="b">
        <v>0</v>
      </c>
      <c r="G46" t="b">
        <v>0</v>
      </c>
      <c r="H46" t="b">
        <v>0</v>
      </c>
    </row>
    <row r="47">
      <c r="C47" t="str">
        <f>IFERROR(__xludf.DUMMYFUNCTION("AI(""The city that the University in the row beside resides in"")"),"I do not have enough information to answer the query because the university name in column B for this row is missing from the provided context.")</f>
        <v>I do not have enough information to answer the query because the university name in column B for this row is missing from the provided context.</v>
      </c>
      <c r="D47" t="b">
        <v>0</v>
      </c>
      <c r="E47" t="b">
        <v>0</v>
      </c>
      <c r="G47" t="b">
        <v>0</v>
      </c>
      <c r="H47" t="b">
        <v>0</v>
      </c>
    </row>
    <row r="48">
      <c r="C48" t="str">
        <f>IFERROR(__xludf.DUMMYFUNCTION("AI(""The city that the University in the row beside resides in"")"),"=AI(""The city that the University in the row beside resides in"")")</f>
        <v>=AI("The city that the University in the row beside resides in")</v>
      </c>
      <c r="D48" t="b">
        <v>0</v>
      </c>
      <c r="E48" t="b">
        <v>0</v>
      </c>
      <c r="G48" t="b">
        <v>0</v>
      </c>
      <c r="H48" t="b">
        <v>0</v>
      </c>
    </row>
    <row r="49">
      <c r="C49" t="str">
        <f>IFERROR(__xludf.DUMMYFUNCTION("AI(""The city that the University in the row beside resides in"")"),"I do not have enough information to answer the query. I am missing the name of the university in row 49 to determine its city.")</f>
        <v>I do not have enough information to answer the query. I am missing the name of the university in row 49 to determine its city.</v>
      </c>
      <c r="D49" t="b">
        <v>0</v>
      </c>
      <c r="E49" t="b">
        <v>0</v>
      </c>
      <c r="G49" t="b">
        <v>0</v>
      </c>
      <c r="H49" t="b">
        <v>0</v>
      </c>
    </row>
    <row r="50">
      <c r="C50" t="str">
        <f>IFERROR(__xludf.DUMMYFUNCTION("AI(""The city that the University in the row beside resides in"")"),"I do not have enough information to answer the query. I am missing the university name for this row to determine the city it resides in.")</f>
        <v>I do not have enough information to answer the query. I am missing the university name for this row to determine the city it resides in.</v>
      </c>
      <c r="D50" t="b">
        <v>0</v>
      </c>
      <c r="E50" t="b">
        <v>0</v>
      </c>
      <c r="G50" t="b">
        <v>0</v>
      </c>
      <c r="H50" t="b">
        <v>0</v>
      </c>
    </row>
    <row r="51">
      <c r="C51" t="str">
        <f>IFERROR(__xludf.DUMMYFUNCTION("AI(""The city that the University in the row beside resides in"")"),"I do not have enough information to answer the query because the university name in column B for this row is missing from the provided context.")</f>
        <v>I do not have enough information to answer the query because the university name in column B for this row is missing from the provided context.</v>
      </c>
      <c r="D51" t="b">
        <v>0</v>
      </c>
      <c r="E51" t="b">
        <v>0</v>
      </c>
      <c r="G51" t="b">
        <v>0</v>
      </c>
      <c r="H51" t="b">
        <v>0</v>
      </c>
    </row>
    <row r="52">
      <c r="C52" t="str">
        <f>IFERROR(__xludf.DUMMYFUNCTION("AI(""The city that the University in the row beside resides in"")"),"I do not have enough information to answer the query. The name of the university for this row is missing from the spreadsheet context.")</f>
        <v>I do not have enough information to answer the query. The name of the university for this row is missing from the spreadsheet context.</v>
      </c>
      <c r="D52" t="b">
        <v>0</v>
      </c>
      <c r="E52" t="b">
        <v>0</v>
      </c>
      <c r="G52" t="b">
        <v>0</v>
      </c>
      <c r="H52" t="b">
        <v>0</v>
      </c>
    </row>
    <row r="53">
      <c r="C53" t="str">
        <f>IFERROR(__xludf.DUMMYFUNCTION("AI(""The city that the University in the row beside resides in"")"),"I do not have enough information to answer the query because the university name for row 53 is missing from the provided sheet context.")</f>
        <v>I do not have enough information to answer the query because the university name for row 53 is missing from the provided sheet context.</v>
      </c>
      <c r="D53" t="b">
        <v>0</v>
      </c>
      <c r="E53" t="b">
        <v>0</v>
      </c>
      <c r="G53" t="b">
        <v>0</v>
      </c>
      <c r="H53" t="b">
        <v>0</v>
      </c>
    </row>
    <row r="54">
      <c r="C54" t="str">
        <f>IFERROR(__xludf.DUMMYFUNCTION("AI(""The city that the University in the row beside resides in"")"),"I do not have enough information to answer the query. The university name for row 54 is missing from the provided spreadsheet context.")</f>
        <v>I do not have enough information to answer the query. The university name for row 54 is missing from the provided spreadsheet context.</v>
      </c>
      <c r="D54" t="b">
        <v>0</v>
      </c>
      <c r="E54" t="b">
        <v>0</v>
      </c>
      <c r="G54" t="b">
        <v>0</v>
      </c>
      <c r="H54" t="b">
        <v>0</v>
      </c>
    </row>
    <row r="55">
      <c r="C55" t="str">
        <f>IFERROR(__xludf.DUMMYFUNCTION("AI(""The city that the University in the row beside resides in"")"),"I do not have enough information to answer the query. I am missing the university name for this row to determine the city it resides in.")</f>
        <v>I do not have enough information to answer the query. I am missing the university name for this row to determine the city it resides in.</v>
      </c>
      <c r="D55" t="b">
        <v>0</v>
      </c>
      <c r="E55" t="b">
        <v>0</v>
      </c>
      <c r="G55" t="b">
        <v>0</v>
      </c>
      <c r="H55" t="b">
        <v>0</v>
      </c>
    </row>
    <row r="56">
      <c r="C56" t="str">
        <f>IFERROR(__xludf.DUMMYFUNCTION("AI(""The city that the University in the row beside resides in"")"),"I do not have enough information to answer the query. I am missing the university name for the specific row to determine its city.")</f>
        <v>I do not have enough information to answer the query. I am missing the university name for the specific row to determine its city.</v>
      </c>
      <c r="D56" t="b">
        <v>0</v>
      </c>
      <c r="E56" t="b">
        <v>0</v>
      </c>
      <c r="G56" t="b">
        <v>0</v>
      </c>
      <c r="H56" t="b">
        <v>0</v>
      </c>
    </row>
    <row r="57">
      <c r="C57" t="str">
        <f>IFERROR(__xludf.DUMMYFUNCTION("AI(""The city that the University in the row beside resides in"")"),"I do not have enough information to answer the query. The university name in column B for this row is missing from the provided context.")</f>
        <v>I do not have enough information to answer the query. The university name in column B for this row is missing from the provided context.</v>
      </c>
      <c r="D57" t="b">
        <v>0</v>
      </c>
      <c r="E57" t="b">
        <v>0</v>
      </c>
      <c r="G57" t="b">
        <v>0</v>
      </c>
      <c r="H57" t="b">
        <v>0</v>
      </c>
    </row>
    <row r="58">
      <c r="C58" t="str">
        <f>IFERROR(__xludf.DUMMYFUNCTION("AI(""The city that the University in the row beside resides in"")"),"I do not have enough information to answer the query. I am missing the name of the university in row 58 to determine which city it resides in.")</f>
        <v>I do not have enough information to answer the query. I am missing the name of the university in row 58 to determine which city it resides in.</v>
      </c>
      <c r="D58" t="b">
        <v>0</v>
      </c>
      <c r="E58" t="b">
        <v>0</v>
      </c>
      <c r="G58" t="b">
        <v>0</v>
      </c>
      <c r="H58" t="b">
        <v>0</v>
      </c>
    </row>
    <row r="59">
      <c r="C59" t="str">
        <f>IFERROR(__xludf.DUMMYFUNCTION("AI(""The city that the University in the row beside resides in"")"),"I do not have enough information to answer the query. I am missing the university name for row 59 to determine the city it resides in.")</f>
        <v>I do not have enough information to answer the query. I am missing the university name for row 59 to determine the city it resides in.</v>
      </c>
      <c r="D59" t="b">
        <v>0</v>
      </c>
      <c r="E59" t="b">
        <v>0</v>
      </c>
      <c r="G59" t="b">
        <v>0</v>
      </c>
      <c r="H59" t="b">
        <v>0</v>
      </c>
    </row>
    <row r="60">
      <c r="C60" t="str">
        <f>IFERROR(__xludf.DUMMYFUNCTION("AI(""The city that the University in the row beside resides in"")"),"I do not have enough information to answer the query. I am missing the university name for row 60 to determine the city it resides in.")</f>
        <v>I do not have enough information to answer the query. I am missing the university name for row 60 to determine the city it resides in.</v>
      </c>
      <c r="D60" t="b">
        <v>0</v>
      </c>
      <c r="E60" t="b">
        <v>0</v>
      </c>
      <c r="G60" t="b">
        <v>0</v>
      </c>
      <c r="H60" t="b">
        <v>0</v>
      </c>
    </row>
    <row r="61">
      <c r="C61" t="str">
        <f>IFERROR(__xludf.DUMMYFUNCTION("AI(""The city that the University in the row beside resides in"")"),"=AI(""The city that the University in the row beside resides in"")")</f>
        <v>=AI("The city that the University in the row beside resides in")</v>
      </c>
      <c r="D61" t="b">
        <v>0</v>
      </c>
      <c r="E61" t="b">
        <v>0</v>
      </c>
      <c r="G61" t="b">
        <v>0</v>
      </c>
      <c r="H61" t="b">
        <v>0</v>
      </c>
    </row>
    <row r="62">
      <c r="C62" t="str">
        <f>IFERROR(__xludf.DUMMYFUNCTION("AI(""The city that the University in the row beside resides in"")"),"I do not have enough information to answer the query. I am missing the university name for this row to determine the city it resides in.")</f>
        <v>I do not have enough information to answer the query. I am missing the university name for this row to determine the city it resides in.</v>
      </c>
      <c r="D62" t="b">
        <v>0</v>
      </c>
      <c r="E62" t="b">
        <v>0</v>
      </c>
      <c r="G62" t="b">
        <v>0</v>
      </c>
      <c r="H62" t="b">
        <v>0</v>
      </c>
    </row>
    <row r="63">
      <c r="C63" t="str">
        <f>IFERROR(__xludf.DUMMYFUNCTION("AI(""The city that the University in the row beside resides in"")"),"I do not have enough information to answer the query. I am missing the name of the university in row 63 to determine its city.")</f>
        <v>I do not have enough information to answer the query. I am missing the name of the university in row 63 to determine its city.</v>
      </c>
      <c r="D63" t="b">
        <v>0</v>
      </c>
      <c r="E63" t="b">
        <v>0</v>
      </c>
      <c r="G63" t="b">
        <v>0</v>
      </c>
      <c r="H63" t="b">
        <v>0</v>
      </c>
    </row>
    <row r="64">
      <c r="C64" t="str">
        <f>IFERROR(__xludf.DUMMYFUNCTION("AI(""The city that the University in the row beside resides in"")"),"I do not have enough information to answer the query. I am missing the university name for row 64 to determine its city.")</f>
        <v>I do not have enough information to answer the query. I am missing the university name for row 64 to determine its city.</v>
      </c>
      <c r="D64" t="b">
        <v>0</v>
      </c>
      <c r="E64" t="b">
        <v>0</v>
      </c>
      <c r="G64" t="b">
        <v>0</v>
      </c>
      <c r="H64" t="b">
        <v>0</v>
      </c>
    </row>
    <row r="65">
      <c r="C65" t="str">
        <f>IFERROR(__xludf.DUMMYFUNCTION("AI(""The city that the University in the row beside resides in"")"),"I do not have enough information to answer the query. I am missing the university name for this row to determine its city.")</f>
        <v>I do not have enough information to answer the query. I am missing the university name for this row to determine its city.</v>
      </c>
      <c r="D65" t="b">
        <v>0</v>
      </c>
      <c r="E65" t="b">
        <v>0</v>
      </c>
      <c r="G65" t="b">
        <v>0</v>
      </c>
      <c r="H65" t="b">
        <v>0</v>
      </c>
    </row>
    <row r="66">
      <c r="C66" t="str">
        <f>IFERROR(__xludf.DUMMYFUNCTION("AI(""The city that the University in the row beside resides in"")"),"I do not have enough information to answer the query. I am missing the university name for row 66 to determine its city.")</f>
        <v>I do not have enough information to answer the query. I am missing the university name for row 66 to determine its city.</v>
      </c>
      <c r="D66" t="b">
        <v>0</v>
      </c>
      <c r="E66" t="b">
        <v>0</v>
      </c>
      <c r="G66" t="b">
        <v>0</v>
      </c>
      <c r="H66" t="b">
        <v>0</v>
      </c>
    </row>
    <row r="67">
      <c r="C67" t="str">
        <f>IFERROR(__xludf.DUMMYFUNCTION("AI(""The city that the University in the row beside resides in"")"),"I do not have enough information to answer this query because the university name for this row is missing from the provided spreadsheet context.")</f>
        <v>I do not have enough information to answer this query because the university name for this row is missing from the provided spreadsheet context.</v>
      </c>
      <c r="D67" t="b">
        <v>0</v>
      </c>
      <c r="E67" t="b">
        <v>0</v>
      </c>
      <c r="G67" t="b">
        <v>0</v>
      </c>
      <c r="H67" t="b">
        <v>0</v>
      </c>
    </row>
    <row r="68">
      <c r="C68" t="str">
        <f>IFERROR(__xludf.DUMMYFUNCTION("AI(""The city that the University in the row beside resides in"")"),"I do not have enough information to answer the query. I am missing the name of the university in row 68 to determine its city.")</f>
        <v>I do not have enough information to answer the query. I am missing the name of the university in row 68 to determine its city.</v>
      </c>
      <c r="D68" t="b">
        <v>0</v>
      </c>
      <c r="E68" t="b">
        <v>0</v>
      </c>
      <c r="G68" t="b">
        <v>0</v>
      </c>
      <c r="H68" t="b">
        <v>0</v>
      </c>
    </row>
    <row r="69">
      <c r="C69" t="str">
        <f>IFERROR(__xludf.DUMMYFUNCTION("AI(""The city that the University in the row beside resides in"")"),"I do not have enough information to answer the query because the university name in column B for row 69 is missing from the provided context.")</f>
        <v>I do not have enough information to answer the query because the university name in column B for row 69 is missing from the provided context.</v>
      </c>
      <c r="D69" t="b">
        <v>0</v>
      </c>
      <c r="E69" t="b">
        <v>0</v>
      </c>
      <c r="G69" t="b">
        <v>0</v>
      </c>
      <c r="H69" t="b">
        <v>0</v>
      </c>
    </row>
    <row r="70">
      <c r="C70" t="str">
        <f>IFERROR(__xludf.DUMMYFUNCTION("AI(""The city that the University in the row beside resides in"")"),"I do not have enough information to answer the query. I am missing the university name for this row to determine the city it resides in.")</f>
        <v>I do not have enough information to answer the query. I am missing the university name for this row to determine the city it resides in.</v>
      </c>
      <c r="D70" t="b">
        <v>0</v>
      </c>
      <c r="E70" t="b">
        <v>0</v>
      </c>
      <c r="G70" t="b">
        <v>0</v>
      </c>
      <c r="H70" t="b">
        <v>0</v>
      </c>
    </row>
    <row r="71">
      <c r="C71" t="str">
        <f>IFERROR(__xludf.DUMMYFUNCTION("AI(""The city that the University in the row beside resides in"")"),"I do not have enough information to answer the query. I am missing the university name for this row to determine the city it resides in.")</f>
        <v>I do not have enough information to answer the query. I am missing the university name for this row to determine the city it resides in.</v>
      </c>
      <c r="D71" t="b">
        <v>0</v>
      </c>
      <c r="E71" t="b">
        <v>0</v>
      </c>
      <c r="G71" t="b">
        <v>0</v>
      </c>
      <c r="H71" t="b">
        <v>0</v>
      </c>
    </row>
    <row r="72">
      <c r="C72" t="str">
        <f>IFERROR(__xludf.DUMMYFUNCTION("AI(""The city that the University in the row beside resides in"")"),"I do not have enough information to answer the query because the university name for this row is missing from the provided spreadsheet context.")</f>
        <v>I do not have enough information to answer the query because the university name for this row is missing from the provided spreadsheet context.</v>
      </c>
      <c r="D72" t="b">
        <v>0</v>
      </c>
      <c r="E72" t="b">
        <v>0</v>
      </c>
      <c r="G72" t="b">
        <v>0</v>
      </c>
      <c r="H72" t="b">
        <v>0</v>
      </c>
    </row>
    <row r="73">
      <c r="C73" t="str">
        <f>IFERROR(__xludf.DUMMYFUNCTION("AI(""The city that the University in the row beside resides in"")"),"I do not have enough information to answer the query. I am missing the university name in row 73 to determine the city it resides in.")</f>
        <v>I do not have enough information to answer the query. I am missing the university name in row 73 to determine the city it resides in.</v>
      </c>
      <c r="D73" t="b">
        <v>0</v>
      </c>
      <c r="E73" t="b">
        <v>0</v>
      </c>
      <c r="G73" t="b">
        <v>0</v>
      </c>
      <c r="H73" t="b">
        <v>0</v>
      </c>
    </row>
    <row r="74">
      <c r="C74" t="str">
        <f>IFERROR(__xludf.DUMMYFUNCTION("AI(""The city that the University in the row beside resides in"")"),"I do not have enough information to answer the query. I am missing the university name for this row to determine its city.")</f>
        <v>I do not have enough information to answer the query. I am missing the university name for this row to determine its city.</v>
      </c>
      <c r="D74" t="b">
        <v>0</v>
      </c>
      <c r="E74" t="b">
        <v>0</v>
      </c>
      <c r="G74" t="b">
        <v>0</v>
      </c>
      <c r="H74" t="b">
        <v>0</v>
      </c>
    </row>
    <row r="75">
      <c r="C75" t="str">
        <f>IFERROR(__xludf.DUMMYFUNCTION("AI(""The city that the University in the row beside resides in"")"),"I do not have enough information to answer the query. The university name for the current row is missing from the provided context, so I cannot determine its city.")</f>
        <v>I do not have enough information to answer the query. The university name for the current row is missing from the provided context, so I cannot determine its city.</v>
      </c>
      <c r="D75" t="b">
        <v>0</v>
      </c>
      <c r="E75" t="b">
        <v>0</v>
      </c>
      <c r="G75" t="b">
        <v>0</v>
      </c>
      <c r="H75" t="b">
        <v>0</v>
      </c>
    </row>
    <row r="76">
      <c r="C76" t="str">
        <f>IFERROR(__xludf.DUMMYFUNCTION("AI(""The city that the University in the row beside resides in"")"),"=AI(""The city that the University in the row beside resides in"")")</f>
        <v>=AI("The city that the University in the row beside resides in")</v>
      </c>
      <c r="D76" t="b">
        <v>0</v>
      </c>
      <c r="E76" t="b">
        <v>0</v>
      </c>
      <c r="G76" t="b">
        <v>0</v>
      </c>
      <c r="H76" t="b">
        <v>0</v>
      </c>
    </row>
    <row r="77">
      <c r="C77" t="str">
        <f>IFERROR(__xludf.DUMMYFUNCTION("AI(""The city that the University in the row beside resides in"")"),"I do not have enough information to answer this query. The name of the university in the row is missing from the provided spreadsheet context.")</f>
        <v>I do not have enough information to answer this query. The name of the university in the row is missing from the provided spreadsheet context.</v>
      </c>
      <c r="D77" t="b">
        <v>0</v>
      </c>
      <c r="E77" t="b">
        <v>0</v>
      </c>
      <c r="G77" t="b">
        <v>0</v>
      </c>
      <c r="H77" t="b">
        <v>0</v>
      </c>
    </row>
    <row r="78">
      <c r="C78" t="str">
        <f>IFERROR(__xludf.DUMMYFUNCTION("AI(""The city that the University in the row beside resides in"")"),"=AI(""The city that the University in the row beside resides in"")")</f>
        <v>=AI("The city that the University in the row beside resides in")</v>
      </c>
      <c r="D78" t="b">
        <v>0</v>
      </c>
      <c r="E78" t="b">
        <v>0</v>
      </c>
      <c r="G78" t="b">
        <v>0</v>
      </c>
      <c r="H78" t="b">
        <v>0</v>
      </c>
    </row>
    <row r="79">
      <c r="C79" t="str">
        <f>IFERROR(__xludf.DUMMYFUNCTION("AI(""The city that the University in the row beside resides in"")"),"I do not have enough information to answer the query. I am missing the university name for this row to determine the city it resides in.")</f>
        <v>I do not have enough information to answer the query. I am missing the university name for this row to determine the city it resides in.</v>
      </c>
      <c r="D79" t="b">
        <v>0</v>
      </c>
      <c r="E79" t="b">
        <v>0</v>
      </c>
      <c r="G79" t="b">
        <v>0</v>
      </c>
      <c r="H79" t="b">
        <v>0</v>
      </c>
    </row>
    <row r="80">
      <c r="C80" t="str">
        <f>IFERROR(__xludf.DUMMYFUNCTION("AI(""The city that the University in the row beside resides in"")"),"I do not have enough information to answer the query. I am missing the name of the university in the row beside to determine the city it resides in.")</f>
        <v>I do not have enough information to answer the query. I am missing the name of the university in the row beside to determine the city it resides in.</v>
      </c>
      <c r="D80" t="b">
        <v>0</v>
      </c>
      <c r="E80" t="b">
        <v>0</v>
      </c>
      <c r="G80" t="b">
        <v>0</v>
      </c>
      <c r="H80" t="b">
        <v>0</v>
      </c>
    </row>
    <row r="81">
      <c r="C81" t="str">
        <f>IFERROR(__xludf.DUMMYFUNCTION("AI(""The city that the University in the row beside resides in"")"),"I do not have enough information to answer the query. I am missing the university name for this row to determine the city it resides in.")</f>
        <v>I do not have enough information to answer the query. I am missing the university name for this row to determine the city it resides in.</v>
      </c>
      <c r="D81" t="b">
        <v>0</v>
      </c>
      <c r="E81" t="b">
        <v>0</v>
      </c>
      <c r="G81" t="b">
        <v>0</v>
      </c>
      <c r="H81" t="b">
        <v>0</v>
      </c>
    </row>
    <row r="82">
      <c r="C82" t="str">
        <f>IFERROR(__xludf.DUMMYFUNCTION("AI(""The city that the University in the row beside resides in"")"),"I do not have enough information to answer the query because the university name in column B for this row is not provided in the context.")</f>
        <v>I do not have enough information to answer the query because the university name in column B for this row is not provided in the context.</v>
      </c>
      <c r="D82" t="b">
        <v>0</v>
      </c>
      <c r="E82" t="b">
        <v>0</v>
      </c>
      <c r="G82" t="b">
        <v>0</v>
      </c>
      <c r="H82" t="b">
        <v>0</v>
      </c>
    </row>
    <row r="83">
      <c r="C83" t="str">
        <f>IFERROR(__xludf.DUMMYFUNCTION("AI(""The city that the University in the row beside resides in"")"),"=AI(""The city that the University in the row beside resides in"")")</f>
        <v>=AI("The city that the University in the row beside resides in")</v>
      </c>
      <c r="D83" t="b">
        <v>0</v>
      </c>
      <c r="E83" t="b">
        <v>0</v>
      </c>
      <c r="G83" t="b">
        <v>0</v>
      </c>
      <c r="H83" t="b">
        <v>0</v>
      </c>
    </row>
    <row r="84">
      <c r="C84" t="str">
        <f>IFERROR(__xludf.DUMMYFUNCTION("AI(""The city that the University in the row beside resides in"")"),"I do not have enough information to answer the query because the university name for this row is missing from the provided context.")</f>
        <v>I do not have enough information to answer the query because the university name for this row is missing from the provided context.</v>
      </c>
      <c r="D84" t="b">
        <v>0</v>
      </c>
      <c r="E84" t="b">
        <v>0</v>
      </c>
      <c r="G84" t="b">
        <v>0</v>
      </c>
      <c r="H84" t="b">
        <v>0</v>
      </c>
    </row>
    <row r="85">
      <c r="C85" t="str">
        <f>IFERROR(__xludf.DUMMYFUNCTION("AI(""The city that the University in the row beside resides in"")"),"I do not have enough information to answer the query. The university name in row 85 is missing from the sheet, so the corresponding city cannot be determined.")</f>
        <v>I do not have enough information to answer the query. The university name in row 85 is missing from the sheet, so the corresponding city cannot be determined.</v>
      </c>
      <c r="D85" t="b">
        <v>0</v>
      </c>
      <c r="E85" t="b">
        <v>0</v>
      </c>
      <c r="G85" t="b">
        <v>0</v>
      </c>
      <c r="H85" t="b">
        <v>0</v>
      </c>
    </row>
    <row r="86">
      <c r="C86" t="str">
        <f>IFERROR(__xludf.DUMMYFUNCTION("AI(""The city that the University in the row beside resides in"")"),"=AI(""The city that the University in the row beside resides in"")")</f>
        <v>=AI("The city that the University in the row beside resides in")</v>
      </c>
      <c r="D86" t="b">
        <v>0</v>
      </c>
      <c r="E86" t="b">
        <v>0</v>
      </c>
      <c r="G86" t="b">
        <v>0</v>
      </c>
      <c r="H86" t="b">
        <v>0</v>
      </c>
    </row>
    <row r="87">
      <c r="C87" t="str">
        <f>IFERROR(__xludf.DUMMYFUNCTION("AI(""The city that the University in the row beside resides in"")"),"I do not have enough information to answer the query. I am missing the name of the university in row 87 to determine its city.")</f>
        <v>I do not have enough information to answer the query. I am missing the name of the university in row 87 to determine its city.</v>
      </c>
      <c r="D87" t="b">
        <v>0</v>
      </c>
      <c r="E87" t="b">
        <v>0</v>
      </c>
      <c r="G87" t="b">
        <v>0</v>
      </c>
      <c r="H87" t="b">
        <v>0</v>
      </c>
    </row>
    <row r="88">
      <c r="C88" t="str">
        <f>IFERROR(__xludf.DUMMYFUNCTION("AI(""The city that the University in the row beside resides in"")"),"I do not have enough information to answer the query. I am missing the university name in column B for this row to determine its city.")</f>
        <v>I do not have enough information to answer the query. I am missing the university name in column B for this row to determine its city.</v>
      </c>
      <c r="D88" t="b">
        <v>0</v>
      </c>
      <c r="E88" t="b">
        <v>0</v>
      </c>
      <c r="G88" t="b">
        <v>0</v>
      </c>
      <c r="H88" t="b">
        <v>0</v>
      </c>
    </row>
    <row r="89">
      <c r="C89" t="str">
        <f>IFERROR(__xludf.DUMMYFUNCTION("AI(""The city that the University in the row beside resides in"")"),"I do not have enough information to provide the city because the university name in cell B89 is missing from the provided context.")</f>
        <v>I do not have enough information to provide the city because the university name in cell B89 is missing from the provided context.</v>
      </c>
      <c r="D89" t="b">
        <v>0</v>
      </c>
      <c r="E89" t="b">
        <v>0</v>
      </c>
      <c r="G89" t="b">
        <v>0</v>
      </c>
      <c r="H89" t="b">
        <v>0</v>
      </c>
    </row>
    <row r="90">
      <c r="C90" t="str">
        <f>IFERROR(__xludf.DUMMYFUNCTION("AI(""The city that the University in the row beside resides in"")"),"I do not have enough information to answer the query because the university name in column B for row 90 is missing from the provided context.")</f>
        <v>I do not have enough information to answer the query because the university name in column B for row 90 is missing from the provided context.</v>
      </c>
      <c r="D90" t="b">
        <v>0</v>
      </c>
      <c r="E90" t="b">
        <v>0</v>
      </c>
      <c r="G90" t="b">
        <v>0</v>
      </c>
      <c r="H90" t="b">
        <v>0</v>
      </c>
    </row>
    <row r="91">
      <c r="C91" t="str">
        <f>IFERROR(__xludf.DUMMYFUNCTION("AI(""The city that the University in the row beside resides in"")"),"I do not have enough information to answer the query. I am missing the University Name for row 91 to determine the city it resides in.")</f>
        <v>I do not have enough information to answer the query. I am missing the University Name for row 91 to determine the city it resides in.</v>
      </c>
      <c r="D91" t="b">
        <v>0</v>
      </c>
      <c r="E91" t="b">
        <v>0</v>
      </c>
      <c r="G91" t="b">
        <v>0</v>
      </c>
      <c r="H91" t="b">
        <v>0</v>
      </c>
    </row>
    <row r="92">
      <c r="C92" t="str">
        <f>IFERROR(__xludf.DUMMYFUNCTION("AI(""The city that the University in the row beside resides in"")"),"I do not have enough information to answer the query. I am missing the university name in row 92 (column B) to determine which city it resides in.")</f>
        <v>I do not have enough information to answer the query. I am missing the university name in row 92 (column B) to determine which city it resides in.</v>
      </c>
      <c r="D92" t="b">
        <v>0</v>
      </c>
      <c r="E92" t="b">
        <v>0</v>
      </c>
      <c r="G92" t="b">
        <v>0</v>
      </c>
      <c r="H92" t="b">
        <v>0</v>
      </c>
    </row>
    <row r="93">
      <c r="C93" t="str">
        <f>IFERROR(__xludf.DUMMYFUNCTION("AI(""The city that the University in the row beside resides in"")"),"I do not have enough information to answer the query. The university name in row 93 is missing from the spreadsheet, which is required to determine the city.")</f>
        <v>I do not have enough information to answer the query. The university name in row 93 is missing from the spreadsheet, which is required to determine the city.</v>
      </c>
      <c r="D93" t="b">
        <v>0</v>
      </c>
      <c r="E93" t="b">
        <v>0</v>
      </c>
      <c r="G93" t="b">
        <v>0</v>
      </c>
      <c r="H93" t="b">
        <v>0</v>
      </c>
    </row>
    <row r="94">
      <c r="C94" t="str">
        <f>IFERROR(__xludf.DUMMYFUNCTION("AI(""The city that the University in the row beside resides in"")"),"I do not have enough information to answer the query. The name of the university for row 94 is missing from the spreadsheet context, so I cannot determine its city.")</f>
        <v>I do not have enough information to answer the query. The name of the university for row 94 is missing from the spreadsheet context, so I cannot determine its city.</v>
      </c>
      <c r="D94" t="b">
        <v>0</v>
      </c>
      <c r="E94" t="b">
        <v>0</v>
      </c>
      <c r="G94" t="b">
        <v>0</v>
      </c>
      <c r="H94" t="b">
        <v>0</v>
      </c>
    </row>
    <row r="95">
      <c r="C95" t="str">
        <f>IFERROR(__xludf.DUMMYFUNCTION("AI(""The city that the University in the row beside resides in"")"),"I do not have enough information to answer the query. I am missing the university name for this row to determine its city.")</f>
        <v>I do not have enough information to answer the query. I am missing the university name for this row to determine its city.</v>
      </c>
      <c r="D95" t="b">
        <v>0</v>
      </c>
      <c r="E95" t="b">
        <v>0</v>
      </c>
      <c r="G95" t="b">
        <v>0</v>
      </c>
      <c r="H95" t="b">
        <v>0</v>
      </c>
    </row>
    <row r="96">
      <c r="C96" t="str">
        <f>IFERROR(__xludf.DUMMYFUNCTION("AI(""The city that the University in the row beside resides in"")"),"I do not have enough information to answer the query. I am missing the university name for row 96 to determine its city.")</f>
        <v>I do not have enough information to answer the query. I am missing the university name for row 96 to determine its city.</v>
      </c>
      <c r="D96" t="b">
        <v>0</v>
      </c>
      <c r="E96" t="b">
        <v>0</v>
      </c>
      <c r="G96" t="b">
        <v>0</v>
      </c>
      <c r="H96" t="b">
        <v>0</v>
      </c>
    </row>
    <row r="97">
      <c r="C97" t="str">
        <f>IFERROR(__xludf.DUMMYFUNCTION("AI(""The city that the University in the row beside resides in"")"),"I do not have enough information to answer the query. I am missing the university name for this row to determine the city it resides in.")</f>
        <v>I do not have enough information to answer the query. I am missing the university name for this row to determine the city it resides in.</v>
      </c>
      <c r="D97" t="b">
        <v>0</v>
      </c>
      <c r="E97" t="b">
        <v>0</v>
      </c>
      <c r="G97" t="b">
        <v>0</v>
      </c>
      <c r="H97" t="b">
        <v>0</v>
      </c>
    </row>
    <row r="98">
      <c r="C98" t="str">
        <f>IFERROR(__xludf.DUMMYFUNCTION("AI(""The city that the University in the row beside resides in"")"),"I do not have enough information to answer the query. I am missing the university name for this row to determine the city it resides in.")</f>
        <v>I do not have enough information to answer the query. I am missing the university name for this row to determine the city it resides in.</v>
      </c>
      <c r="D98" t="b">
        <v>0</v>
      </c>
      <c r="E98" t="b">
        <v>0</v>
      </c>
      <c r="G98" t="b">
        <v>0</v>
      </c>
      <c r="H98" t="b">
        <v>0</v>
      </c>
    </row>
    <row r="99">
      <c r="C99" t="str">
        <f>IFERROR(__xludf.DUMMYFUNCTION("AI(""The city that the University in the row beside resides in"")"),"I do not have enough information to answer the query. I am missing the university name for row 99 in column B (NLUniversityName) to determine which city it resides in.")</f>
        <v>I do not have enough information to answer the query. I am missing the university name for row 99 in column B (NLUniversityName) to determine which city it resides in.</v>
      </c>
      <c r="D99" t="b">
        <v>0</v>
      </c>
      <c r="E99" t="b">
        <v>0</v>
      </c>
      <c r="G99" t="b">
        <v>0</v>
      </c>
      <c r="H99" t="b">
        <v>0</v>
      </c>
    </row>
    <row r="100">
      <c r="C100" t="str">
        <f>IFERROR(__xludf.DUMMYFUNCTION("AI(""The city that the University in the row beside resides in"")"),"I do not have enough information to answer the query. I am missing the university name from column B (NLUniversityName) for this row to determine its city.")</f>
        <v>I do not have enough information to answer the query. I am missing the university name from column B (NLUniversityName) for this row to determine its city.</v>
      </c>
      <c r="D100" t="b">
        <v>0</v>
      </c>
      <c r="E100" t="b">
        <v>0</v>
      </c>
      <c r="G100" t="b">
        <v>0</v>
      </c>
      <c r="H100" t="b">
        <v>0</v>
      </c>
    </row>
    <row r="101">
      <c r="C101" t="str">
        <f>IFERROR(__xludf.DUMMYFUNCTION("AI(""The city that the University in the row beside resides in"")"),"Amsterdam")</f>
        <v>Amsterdam</v>
      </c>
      <c r="D101" t="b">
        <v>0</v>
      </c>
      <c r="E101" t="b">
        <v>0</v>
      </c>
      <c r="G101" t="b">
        <v>0</v>
      </c>
      <c r="H101" t="b">
        <v>0</v>
      </c>
    </row>
    <row r="102">
      <c r="C102" t="str">
        <f>IFERROR(__xludf.DUMMYFUNCTION("AI(""The city that the University in the row beside resides in"")"),"=AI(""The city that the University in the row beside resides in"")")</f>
        <v>=AI("The city that the University in the row beside resides in")</v>
      </c>
      <c r="D102" t="b">
        <v>0</v>
      </c>
      <c r="E102" t="b">
        <v>0</v>
      </c>
      <c r="G102" t="b">
        <v>0</v>
      </c>
      <c r="H102" t="b">
        <v>0</v>
      </c>
    </row>
    <row r="103">
      <c r="C103" t="str">
        <f>IFERROR(__xludf.DUMMYFUNCTION("AI(""The city that the University in the row beside resides in"")"),"I do not have enough information to answer the query. I am missing the university name in column B for row 103 to determine the city it resides in.")</f>
        <v>I do not have enough information to answer the query. I am missing the university name in column B for row 103 to determine the city it resides in.</v>
      </c>
      <c r="D103" t="b">
        <v>0</v>
      </c>
      <c r="E103" t="b">
        <v>0</v>
      </c>
      <c r="G103" t="b">
        <v>0</v>
      </c>
      <c r="H103" t="b">
        <v>0</v>
      </c>
    </row>
    <row r="104">
      <c r="C104" t="str">
        <f>IFERROR(__xludf.DUMMYFUNCTION("AI(""The city that the University in the row beside resides in"")"),"I do not have enough information to answer the query. I am missing the university name for this row to determine the city it resides in.")</f>
        <v>I do not have enough information to answer the query. I am missing the university name for this row to determine the city it resides in.</v>
      </c>
      <c r="D104" t="b">
        <v>0</v>
      </c>
      <c r="E104" t="b">
        <v>0</v>
      </c>
      <c r="G104" t="b">
        <v>0</v>
      </c>
      <c r="H104" t="b">
        <v>0</v>
      </c>
    </row>
    <row r="105">
      <c r="C105" t="str">
        <f>IFERROR(__xludf.DUMMYFUNCTION("AI(""The city that the University in the row beside resides in"")"),"I do not have enough information to answer the query because the university name in column B for this row is missing from the provided context.")</f>
        <v>I do not have enough information to answer the query because the university name in column B for this row is missing from the provided context.</v>
      </c>
      <c r="D105" t="b">
        <v>0</v>
      </c>
      <c r="E105" t="b">
        <v>0</v>
      </c>
      <c r="G105" t="b">
        <v>0</v>
      </c>
      <c r="H105" t="b">
        <v>0</v>
      </c>
    </row>
    <row r="106">
      <c r="C106" t="str">
        <f>IFERROR(__xludf.DUMMYFUNCTION("AI(""The city that the University in the row beside resides in"")"),"=AI(""The city that the University in the row beside resides in"")")</f>
        <v>=AI("The city that the University in the row beside resides in")</v>
      </c>
      <c r="D106" t="b">
        <v>0</v>
      </c>
      <c r="E106" t="b">
        <v>0</v>
      </c>
      <c r="G106" t="b">
        <v>0</v>
      </c>
      <c r="H106" t="b">
        <v>0</v>
      </c>
    </row>
    <row r="107">
      <c r="C107" t="str">
        <f>IFERROR(__xludf.DUMMYFUNCTION("AI(""The city that the University in the row beside resides in"")"),"I do not have enough information to answer the query. I am missing the name of the university in row 107 to determine its city.")</f>
        <v>I do not have enough information to answer the query. I am missing the name of the university in row 107 to determine its city.</v>
      </c>
      <c r="D107" t="b">
        <v>0</v>
      </c>
      <c r="E107" t="b">
        <v>0</v>
      </c>
      <c r="G107" t="b">
        <v>0</v>
      </c>
      <c r="H107" t="b">
        <v>0</v>
      </c>
    </row>
    <row r="108">
      <c r="C108" t="str">
        <f>IFERROR(__xludf.DUMMYFUNCTION("AI(""The city that the University in the row beside resides in"")"),"I do not have enough information to answer the query. I am missing the university name from the row beside this cell (column B) to determine its city.")</f>
        <v>I do not have enough information to answer the query. I am missing the university name from the row beside this cell (column B) to determine its city.</v>
      </c>
      <c r="D108" t="b">
        <v>0</v>
      </c>
      <c r="E108" t="b">
        <v>0</v>
      </c>
      <c r="G108" t="b">
        <v>0</v>
      </c>
      <c r="H108" t="b">
        <v>0</v>
      </c>
    </row>
    <row r="109">
      <c r="C109" t="str">
        <f>IFERROR(__xludf.DUMMYFUNCTION("AI(""The city that the University in the row beside resides in"")"),"I do not have enough information to answer the query. I am missing the university name for this row to determine the city it resides in.")</f>
        <v>I do not have enough information to answer the query. I am missing the university name for this row to determine the city it resides in.</v>
      </c>
      <c r="D109" t="b">
        <v>0</v>
      </c>
      <c r="E109" t="b">
        <v>0</v>
      </c>
      <c r="G109" t="b">
        <v>0</v>
      </c>
      <c r="H109" t="b">
        <v>0</v>
      </c>
    </row>
    <row r="110">
      <c r="C110" t="str">
        <f>IFERROR(__xludf.DUMMYFUNCTION("AI(""The city that the University in the row beside resides in"")"),"I do not have enough information to answer the query. I am missing the university name in row 110 to determine the city it resides in.")</f>
        <v>I do not have enough information to answer the query. I am missing the university name in row 110 to determine the city it resides in.</v>
      </c>
      <c r="D110" t="b">
        <v>0</v>
      </c>
      <c r="E110" t="b">
        <v>0</v>
      </c>
      <c r="G110" t="b">
        <v>0</v>
      </c>
      <c r="H110" t="b">
        <v>0</v>
      </c>
    </row>
    <row r="111">
      <c r="C111" t="str">
        <f>IFERROR(__xludf.DUMMYFUNCTION("AI(""The city that the University in the row beside resides in"")"),"=AI(""The city that the University in the row beside resides in"")")</f>
        <v>=AI("The city that the University in the row beside resides in")</v>
      </c>
      <c r="D111" t="b">
        <v>0</v>
      </c>
      <c r="E111" t="b">
        <v>0</v>
      </c>
      <c r="G111" t="b">
        <v>0</v>
      </c>
      <c r="H111" t="b">
        <v>0</v>
      </c>
    </row>
    <row r="112">
      <c r="C112" t="str">
        <f>IFERROR(__xludf.DUMMYFUNCTION("AI(""The city that the University in the row beside resides in"")"),"I do not have enough information to answer the query. I am missing the university name for this row to determine its city.")</f>
        <v>I do not have enough information to answer the query. I am missing the university name for this row to determine its city.</v>
      </c>
      <c r="D112" t="b">
        <v>0</v>
      </c>
      <c r="E112" t="b">
        <v>0</v>
      </c>
      <c r="G112" t="b">
        <v>0</v>
      </c>
      <c r="H112" t="b">
        <v>0</v>
      </c>
    </row>
    <row r="113">
      <c r="C113" t="str">
        <f>IFERROR(__xludf.DUMMYFUNCTION("AI(""The city that the University in the row beside resides in"")"),"=AI(""The city that the University in the row beside resides in"")")</f>
        <v>=AI("The city that the University in the row beside resides in")</v>
      </c>
      <c r="D113" t="b">
        <v>0</v>
      </c>
      <c r="E113" t="b">
        <v>0</v>
      </c>
      <c r="G113" t="b">
        <v>0</v>
      </c>
      <c r="H113" t="b">
        <v>0</v>
      </c>
    </row>
    <row r="114">
      <c r="C114" t="str">
        <f>IFERROR(__xludf.DUMMYFUNCTION("AI(""The city that the University in the row beside resides in"")"),"I do not have enough information to answer the query, as the university name for row 114 is not visible in the provided spreadsheet context.")</f>
        <v>I do not have enough information to answer the query, as the university name for row 114 is not visible in the provided spreadsheet context.</v>
      </c>
      <c r="D114" t="b">
        <v>0</v>
      </c>
      <c r="E114" t="b">
        <v>0</v>
      </c>
      <c r="G114" t="b">
        <v>0</v>
      </c>
      <c r="H114" t="b">
        <v>0</v>
      </c>
    </row>
    <row r="115">
      <c r="C115" t="str">
        <f>IFERROR(__xludf.DUMMYFUNCTION("AI(""The city that the University in the row beside resides in"")"),"I do not have enough information to answer the query. The university name for this row is missing from the provided context.")</f>
        <v>I do not have enough information to answer the query. The university name for this row is missing from the provided context.</v>
      </c>
      <c r="D115" t="b">
        <v>0</v>
      </c>
      <c r="E115" t="b">
        <v>0</v>
      </c>
      <c r="G115" t="b">
        <v>0</v>
      </c>
      <c r="H115" t="b">
        <v>0</v>
      </c>
    </row>
    <row r="116">
      <c r="C116" t="str">
        <f>IFERROR(__xludf.DUMMYFUNCTION("AI(""The city that the University in the row beside resides in"")"),"I do not have enough information to answer the query. I am missing the name of the university in row 116 (Column B) to determine its city.")</f>
        <v>I do not have enough information to answer the query. I am missing the name of the university in row 116 (Column B) to determine its city.</v>
      </c>
      <c r="D116" t="b">
        <v>0</v>
      </c>
      <c r="E116" t="b">
        <v>0</v>
      </c>
      <c r="G116" t="b">
        <v>0</v>
      </c>
      <c r="H116" t="b">
        <v>0</v>
      </c>
    </row>
    <row r="117">
      <c r="C117" t="str">
        <f>IFERROR(__xludf.DUMMYFUNCTION("AI(""The city that the University in the row beside resides in"")"),"I do not have enough information to answer the query. I am missing the university name in row 117 (column B) to determine the city it resides in.")</f>
        <v>I do not have enough information to answer the query. I am missing the university name in row 117 (column B) to determine the city it resides in.</v>
      </c>
      <c r="D117" t="b">
        <v>0</v>
      </c>
      <c r="E117" t="b">
        <v>0</v>
      </c>
      <c r="G117" t="b">
        <v>0</v>
      </c>
      <c r="H117" t="b">
        <v>0</v>
      </c>
    </row>
    <row r="118">
      <c r="C118" t="str">
        <f>IFERROR(__xludf.DUMMYFUNCTION("AI(""The city that the University in the row beside resides in"")"),"I do not have enough information to answer the query. I am missing the university name for row 118 to determine its city.")</f>
        <v>I do not have enough information to answer the query. I am missing the university name for row 118 to determine its city.</v>
      </c>
      <c r="D118" t="b">
        <v>0</v>
      </c>
      <c r="E118" t="b">
        <v>0</v>
      </c>
      <c r="G118" t="b">
        <v>0</v>
      </c>
      <c r="H118" t="b">
        <v>0</v>
      </c>
    </row>
    <row r="119">
      <c r="C119" t="str">
        <f>IFERROR(__xludf.DUMMYFUNCTION("AI(""The city that the University in the row beside resides in"")"),"I do not have enough information to answer the query. I am missing the university name for row 119 to determine its city.")</f>
        <v>I do not have enough information to answer the query. I am missing the university name for row 119 to determine its city.</v>
      </c>
      <c r="D119" t="b">
        <v>0</v>
      </c>
      <c r="E119" t="b">
        <v>0</v>
      </c>
      <c r="G119" t="b">
        <v>0</v>
      </c>
      <c r="H119" t="b">
        <v>0</v>
      </c>
    </row>
    <row r="120">
      <c r="C120" t="str">
        <f>IFERROR(__xludf.DUMMYFUNCTION("AI(""The city that the University in the row beside resides in"")"),"=AI(""The city that the University in the row beside resides in"")")</f>
        <v>=AI("The city that the University in the row beside resides in")</v>
      </c>
      <c r="D120" t="b">
        <v>0</v>
      </c>
      <c r="E120" t="b">
        <v>0</v>
      </c>
      <c r="G120" t="b">
        <v>0</v>
      </c>
      <c r="H120" t="b">
        <v>0</v>
      </c>
    </row>
    <row r="121">
      <c r="C121" t="str">
        <f>IFERROR(__xludf.DUMMYFUNCTION("AI(""The city that the University in the row beside resides in"")"),"I do not have enough information to answer the query. I am missing the name of the university in row 121 to determine its city.")</f>
        <v>I do not have enough information to answer the query. I am missing the name of the university in row 121 to determine its city.</v>
      </c>
      <c r="D121" t="b">
        <v>0</v>
      </c>
      <c r="E121" t="b">
        <v>0</v>
      </c>
      <c r="G121" t="b">
        <v>0</v>
      </c>
      <c r="H121" t="b">
        <v>0</v>
      </c>
    </row>
    <row r="122">
      <c r="C122" t="str">
        <f>IFERROR(__xludf.DUMMYFUNCTION("AI(""The city that the University in the row beside resides in"")"),"I do not have enough information to answer the query. I am missing the university name for this row to determine the city.")</f>
        <v>I do not have enough information to answer the query. I am missing the university name for this row to determine the city.</v>
      </c>
      <c r="D122" t="b">
        <v>0</v>
      </c>
      <c r="E122" t="b">
        <v>0</v>
      </c>
      <c r="G122" t="b">
        <v>0</v>
      </c>
      <c r="H122" t="b">
        <v>0</v>
      </c>
    </row>
    <row r="123">
      <c r="C123" t="str">
        <f>IFERROR(__xludf.DUMMYFUNCTION("AI(""The city that the University in the row beside resides in"")"),"I do not have enough information to determine the city because the university name for this row is missing from the provided context.")</f>
        <v>I do not have enough information to determine the city because the university name for this row is missing from the provided context.</v>
      </c>
      <c r="D123" t="b">
        <v>0</v>
      </c>
      <c r="E123" t="b">
        <v>0</v>
      </c>
      <c r="G123" t="b">
        <v>0</v>
      </c>
      <c r="H123" t="b">
        <v>0</v>
      </c>
    </row>
    <row r="124">
      <c r="C124" t="str">
        <f>IFERROR(__xludf.DUMMYFUNCTION("AI(""The city that the University in the row beside resides in"")"),"I do not have enough information to answer the query. I am missing the name of the university in row 124 to determine its city.")</f>
        <v>I do not have enough information to answer the query. I am missing the name of the university in row 124 to determine its city.</v>
      </c>
      <c r="D124" t="b">
        <v>0</v>
      </c>
      <c r="E124" t="b">
        <v>0</v>
      </c>
      <c r="G124" t="b">
        <v>0</v>
      </c>
      <c r="H124" t="b">
        <v>0</v>
      </c>
    </row>
    <row r="125">
      <c r="C125" t="str">
        <f>IFERROR(__xludf.DUMMYFUNCTION("AI(""The city that the University in the row beside resides in"")"),"I do not have enough information to determine the city because the university name in row 125 is not visible in the provided context.")</f>
        <v>I do not have enough information to determine the city because the university name in row 125 is not visible in the provided context.</v>
      </c>
      <c r="D125" t="b">
        <v>0</v>
      </c>
      <c r="E125" t="b">
        <v>0</v>
      </c>
      <c r="G125" t="b">
        <v>0</v>
      </c>
      <c r="H125" t="b">
        <v>0</v>
      </c>
    </row>
    <row r="126">
      <c r="C126" t="str">
        <f>IFERROR(__xludf.DUMMYFUNCTION("AI(""The city that the University in the row beside resides in"")"),"I do not have enough information to answer the query. I am missing the university name in the row beside to determine its city.")</f>
        <v>I do not have enough information to answer the query. I am missing the university name in the row beside to determine its city.</v>
      </c>
      <c r="D126" t="b">
        <v>0</v>
      </c>
      <c r="E126" t="b">
        <v>0</v>
      </c>
      <c r="G126" t="b">
        <v>0</v>
      </c>
      <c r="H126" t="b">
        <v>0</v>
      </c>
    </row>
    <row r="127">
      <c r="C127" t="str">
        <f>IFERROR(__xludf.DUMMYFUNCTION("AI(""The city that the University in the row beside resides in"")"),"I do not have enough information to answer the query. The university name for this row is missing from the provided spreadsheet context.")</f>
        <v>I do not have enough information to answer the query. The university name for this row is missing from the provided spreadsheet context.</v>
      </c>
      <c r="D127" t="b">
        <v>0</v>
      </c>
      <c r="E127" t="b">
        <v>0</v>
      </c>
      <c r="G127" t="b">
        <v>0</v>
      </c>
      <c r="H127" t="b">
        <v>0</v>
      </c>
    </row>
    <row r="128">
      <c r="C128" t="str">
        <f>IFERROR(__xludf.DUMMYFUNCTION("AI(""The city that the University in the row beside resides in"")"),"I do not have enough information to answer the query. I am missing the university name from the row to determine which city it resides in.")</f>
        <v>I do not have enough information to answer the query. I am missing the university name from the row to determine which city it resides in.</v>
      </c>
      <c r="D128" t="b">
        <v>0</v>
      </c>
      <c r="E128" t="b">
        <v>0</v>
      </c>
      <c r="G128" t="b">
        <v>0</v>
      </c>
      <c r="H128" t="b">
        <v>0</v>
      </c>
    </row>
    <row r="129">
      <c r="C129" t="str">
        <f>IFERROR(__xludf.DUMMYFUNCTION("AI(""The city that the University in the row beside resides in"")"),"I do not have enough information to answer the query. I am missing the university name for this row to determine its city.")</f>
        <v>I do not have enough information to answer the query. I am missing the university name for this row to determine its city.</v>
      </c>
      <c r="D129" t="b">
        <v>0</v>
      </c>
      <c r="E129" t="b">
        <v>0</v>
      </c>
      <c r="G129" t="b">
        <v>0</v>
      </c>
      <c r="H129" t="b">
        <v>0</v>
      </c>
    </row>
    <row r="130">
      <c r="C130" t="str">
        <f>IFERROR(__xludf.DUMMYFUNCTION("AI(""The city that the University in the row beside resides in"")"),"I do not have enough information to answer the query. I am missing the university name for row 130 to determine the city it resides in.")</f>
        <v>I do not have enough information to answer the query. I am missing the university name for row 130 to determine the city it resides in.</v>
      </c>
      <c r="D130" t="b">
        <v>0</v>
      </c>
      <c r="E130" t="b">
        <v>0</v>
      </c>
      <c r="G130" t="b">
        <v>0</v>
      </c>
      <c r="H130" t="b">
        <v>0</v>
      </c>
    </row>
    <row r="131">
      <c r="C131" t="str">
        <f>IFERROR(__xludf.DUMMYFUNCTION("AI(""The city that the University in the row beside resides in"")"),"=AI(""The city that the University in the row beside resides in"")")</f>
        <v>=AI("The city that the University in the row beside resides in")</v>
      </c>
      <c r="D131" t="b">
        <v>0</v>
      </c>
      <c r="E131" t="b">
        <v>0</v>
      </c>
      <c r="G131" t="b">
        <v>0</v>
      </c>
      <c r="H131" t="b">
        <v>0</v>
      </c>
    </row>
    <row r="132">
      <c r="C132" t="str">
        <f>IFERROR(__xludf.DUMMYFUNCTION("AI(""The city that the University in the row beside resides in"")"),"I do not have enough information to determine the city because the university name in column B for this row is missing from the provided context.")</f>
        <v>I do not have enough information to determine the city because the university name in column B for this row is missing from the provided context.</v>
      </c>
      <c r="D132" t="b">
        <v>0</v>
      </c>
      <c r="E132" t="b">
        <v>0</v>
      </c>
      <c r="G132" t="b">
        <v>0</v>
      </c>
      <c r="H132" t="b">
        <v>0</v>
      </c>
    </row>
    <row r="133">
      <c r="C133" t="str">
        <f>IFERROR(__xludf.DUMMYFUNCTION("AI(""The city that the University in the row beside resides in"")"),"I do not have enough information to answer the query. I am missing the university name for this row to determine the city.")</f>
        <v>I do not have enough information to answer the query. I am missing the university name for this row to determine the city.</v>
      </c>
      <c r="D133" t="b">
        <v>0</v>
      </c>
      <c r="E133" t="b">
        <v>0</v>
      </c>
      <c r="G133" t="b">
        <v>0</v>
      </c>
      <c r="H133" t="b">
        <v>0</v>
      </c>
    </row>
    <row r="134">
      <c r="C134" t="str">
        <f>IFERROR(__xludf.DUMMYFUNCTION("AI(""The city that the University in the row beside resides in"")"),"I do not have enough information to answer the query. I am missing the university name for this row to determine its city.")</f>
        <v>I do not have enough information to answer the query. I am missing the university name for this row to determine its city.</v>
      </c>
      <c r="D134" t="b">
        <v>0</v>
      </c>
      <c r="E134" t="b">
        <v>0</v>
      </c>
      <c r="G134" t="b">
        <v>0</v>
      </c>
      <c r="H134" t="b">
        <v>0</v>
      </c>
    </row>
    <row r="135">
      <c r="C135" t="str">
        <f>IFERROR(__xludf.DUMMYFUNCTION("AI(""The city that the University in the row beside resides in"")"),"I do not have enough information to answer the query. I am missing the university name for this row to determine its city.")</f>
        <v>I do not have enough information to answer the query. I am missing the university name for this row to determine its city.</v>
      </c>
      <c r="D135" t="b">
        <v>0</v>
      </c>
      <c r="E135" t="b">
        <v>0</v>
      </c>
      <c r="G135" t="b">
        <v>0</v>
      </c>
      <c r="H135" t="b">
        <v>0</v>
      </c>
    </row>
    <row r="136">
      <c r="C136" t="str">
        <f>IFERROR(__xludf.DUMMYFUNCTION("AI(""The city that the University in the row beside resides in"")"),"I do not have enough information to answer the query. I am missing the university name for this row to determine the city it resides in.")</f>
        <v>I do not have enough information to answer the query. I am missing the university name for this row to determine the city it resides in.</v>
      </c>
      <c r="D136" t="b">
        <v>0</v>
      </c>
      <c r="E136" t="b">
        <v>0</v>
      </c>
      <c r="G136" t="b">
        <v>0</v>
      </c>
      <c r="H136" t="b">
        <v>0</v>
      </c>
    </row>
    <row r="137">
      <c r="C137" t="str">
        <f>IFERROR(__xludf.DUMMYFUNCTION("AI(""The city that the University in the row beside resides in"")"),"I do not have enough information to answer the query. I am missing the name of the university in row 137 to determine the city it resides in.")</f>
        <v>I do not have enough information to answer the query. I am missing the name of the university in row 137 to determine the city it resides in.</v>
      </c>
      <c r="D137" t="b">
        <v>0</v>
      </c>
      <c r="E137" t="b">
        <v>0</v>
      </c>
      <c r="G137" t="b">
        <v>0</v>
      </c>
      <c r="H137" t="b">
        <v>0</v>
      </c>
    </row>
    <row r="138">
      <c r="C138" t="str">
        <f>IFERROR(__xludf.DUMMYFUNCTION("AI(""The city that the University in the row beside resides in"")"),"I do not have enough information to answer the query. I am missing the university name for row 138 to determine its city.")</f>
        <v>I do not have enough information to answer the query. I am missing the university name for row 138 to determine its city.</v>
      </c>
      <c r="D138" t="b">
        <v>0</v>
      </c>
      <c r="E138" t="b">
        <v>0</v>
      </c>
      <c r="G138" t="b">
        <v>0</v>
      </c>
      <c r="H138" t="b">
        <v>0</v>
      </c>
    </row>
    <row r="139">
      <c r="C139" t="str">
        <f>IFERROR(__xludf.DUMMYFUNCTION("AI(""The city that the University in the row beside resides in"")"),"I do not have enough information to answer the query. I am missing the name of the university in column B for this row to determine the city it resides in.")</f>
        <v>I do not have enough information to answer the query. I am missing the name of the university in column B for this row to determine the city it resides in.</v>
      </c>
      <c r="D139" t="b">
        <v>0</v>
      </c>
      <c r="E139" t="b">
        <v>0</v>
      </c>
      <c r="G139" t="b">
        <v>0</v>
      </c>
      <c r="H139" t="b">
        <v>0</v>
      </c>
    </row>
    <row r="140">
      <c r="C140" t="str">
        <f>IFERROR(__xludf.DUMMYFUNCTION("AI(""The city that the University in the row beside resides in"")"),"I do not have enough information to answer the query. I am missing the university name for this row (Column B) to determine its city.")</f>
        <v>I do not have enough information to answer the query. I am missing the university name for this row (Column B) to determine its city.</v>
      </c>
      <c r="D140" t="b">
        <v>0</v>
      </c>
      <c r="E140" t="b">
        <v>0</v>
      </c>
      <c r="G140" t="b">
        <v>0</v>
      </c>
      <c r="H140" t="b">
        <v>0</v>
      </c>
    </row>
    <row r="141">
      <c r="C141" t="str">
        <f>IFERROR(__xludf.DUMMYFUNCTION("AI(""The city that the University in the row beside resides in"")"),"=AI(""The city that the University in the row beside resides in"")")</f>
        <v>=AI("The city that the University in the row beside resides in")</v>
      </c>
      <c r="D141" t="b">
        <v>0</v>
      </c>
      <c r="E141" t="b">
        <v>0</v>
      </c>
      <c r="G141" t="b">
        <v>0</v>
      </c>
      <c r="H141" t="b">
        <v>0</v>
      </c>
    </row>
    <row r="142">
      <c r="C142" t="str">
        <f>IFERROR(__xludf.DUMMYFUNCTION("AI(""The city that the University in the row beside resides in"")"),"I do not have enough information to answer the query. I am missing the name of the university for this row to determine its city.")</f>
        <v>I do not have enough information to answer the query. I am missing the name of the university for this row to determine its city.</v>
      </c>
      <c r="D142" t="b">
        <v>0</v>
      </c>
      <c r="E142" t="b">
        <v>0</v>
      </c>
      <c r="G142" t="b">
        <v>0</v>
      </c>
      <c r="H142" t="b">
        <v>0</v>
      </c>
    </row>
    <row r="143">
      <c r="C143" t="str">
        <f>IFERROR(__xludf.DUMMYFUNCTION("AI(""The city that the University in the row beside resides in"")"),"I do not have enough information to determine the city because the university name in column B for this row is missing from the provided context. Please ensure the university name is filled in to get the correct city.")</f>
        <v>I do not have enough information to determine the city because the university name in column B for this row is missing from the provided context. Please ensure the university name is filled in to get the correct city.</v>
      </c>
      <c r="D143" t="b">
        <v>0</v>
      </c>
      <c r="E143" t="b">
        <v>0</v>
      </c>
      <c r="G143" t="b">
        <v>0</v>
      </c>
      <c r="H143" t="b">
        <v>0</v>
      </c>
    </row>
    <row r="144">
      <c r="C144" t="str">
        <f>IFERROR(__xludf.DUMMYFUNCTION("AI(""The city that the University in the row beside resides in"")"),"I do not have enough information to answer the query. I am missing the university name for this row to determine its city.")</f>
        <v>I do not have enough information to answer the query. I am missing the university name for this row to determine its city.</v>
      </c>
      <c r="D144" t="b">
        <v>0</v>
      </c>
      <c r="E144" t="b">
        <v>0</v>
      </c>
      <c r="G144" t="b">
        <v>0</v>
      </c>
      <c r="H144" t="b">
        <v>0</v>
      </c>
    </row>
    <row r="145">
      <c r="C145" t="str">
        <f>IFERROR(__xludf.DUMMYFUNCTION("AI(""The city that the University in the row beside resides in"")"),"=AI(""The city that the University in the row beside resides in"")")</f>
        <v>=AI("The city that the University in the row beside resides in")</v>
      </c>
      <c r="D145" t="b">
        <v>0</v>
      </c>
      <c r="E145" t="b">
        <v>0</v>
      </c>
      <c r="G145" t="b">
        <v>0</v>
      </c>
      <c r="H145" t="b">
        <v>0</v>
      </c>
    </row>
    <row r="146">
      <c r="C146" t="str">
        <f>IFERROR(__xludf.DUMMYFUNCTION("AI(""The city that the University in the row beside resides in"")"),"=AI(""The city that the University in the row beside resides in"")")</f>
        <v>=AI("The city that the University in the row beside resides in")</v>
      </c>
      <c r="D146" t="b">
        <v>0</v>
      </c>
      <c r="E146" t="b">
        <v>0</v>
      </c>
      <c r="G146" t="b">
        <v>0</v>
      </c>
      <c r="H146" t="b">
        <v>0</v>
      </c>
    </row>
    <row r="147">
      <c r="C147" t="str">
        <f>IFERROR(__xludf.DUMMYFUNCTION("AI(""The city that the University in the row beside resides in"")"),"I do not have enough information to answer the query because the university name for this row is missing from the provided context.")</f>
        <v>I do not have enough information to answer the query because the university name for this row is missing from the provided context.</v>
      </c>
      <c r="D147" t="b">
        <v>0</v>
      </c>
      <c r="E147" t="b">
        <v>0</v>
      </c>
      <c r="G147" t="b">
        <v>0</v>
      </c>
      <c r="H147" t="b">
        <v>0</v>
      </c>
    </row>
    <row r="148">
      <c r="C148" t="str">
        <f>IFERROR(__xludf.DUMMYFUNCTION("AI(""The city that the University in the row beside resides in"")"),"I do not have enough information to answer the query because the university name for this row is missing from the provided context. Please include the university name to get the correct city.")</f>
        <v>I do not have enough information to answer the query because the university name for this row is missing from the provided context. Please include the university name to get the correct city.</v>
      </c>
      <c r="D148" t="b">
        <v>0</v>
      </c>
      <c r="E148" t="b">
        <v>0</v>
      </c>
      <c r="G148" t="b">
        <v>0</v>
      </c>
      <c r="H148" t="b">
        <v>0</v>
      </c>
    </row>
    <row r="149">
      <c r="C149" t="str">
        <f>IFERROR(__xludf.DUMMYFUNCTION("AI(""The city that the University in the row beside resides in"")"),"I do not have enough information to answer the query. I am missing the university name from column B for this row to determine the city it resides in.")</f>
        <v>I do not have enough information to answer the query. I am missing the university name from column B for this row to determine the city it resides in.</v>
      </c>
      <c r="D149" t="b">
        <v>0</v>
      </c>
      <c r="E149" t="b">
        <v>0</v>
      </c>
      <c r="G149" t="b">
        <v>0</v>
      </c>
      <c r="H149" t="b">
        <v>0</v>
      </c>
    </row>
    <row r="150">
      <c r="C150" t="str">
        <f>IFERROR(__xludf.DUMMYFUNCTION("AI(""The city that the University in the row beside resides in"")"),"I do not have enough information to answer the query. I am missing the university name for this row to determine the city it resides in.")</f>
        <v>I do not have enough information to answer the query. I am missing the university name for this row to determine the city it resides in.</v>
      </c>
      <c r="D150" t="b">
        <v>0</v>
      </c>
      <c r="E150" t="b">
        <v>0</v>
      </c>
      <c r="G150" t="b">
        <v>0</v>
      </c>
      <c r="H150" t="b">
        <v>0</v>
      </c>
    </row>
    <row r="151">
      <c r="C151" t="str">
        <f>IFERROR(__xludf.DUMMYFUNCTION("AI(""The city that the University in the row beside resides in"")"),"I do not have enough information to answer the query. I am missing the name of the university in column B for this row to determine its city.")</f>
        <v>I do not have enough information to answer the query. I am missing the name of the university in column B for this row to determine its city.</v>
      </c>
      <c r="D151" t="b">
        <v>0</v>
      </c>
      <c r="E151" t="b">
        <v>0</v>
      </c>
      <c r="G151" t="b">
        <v>0</v>
      </c>
      <c r="H151" t="b">
        <v>0</v>
      </c>
    </row>
    <row r="152">
      <c r="C152" t="str">
        <f>IFERROR(__xludf.DUMMYFUNCTION("AI(""The city that the University in the row beside resides in"")"),"=AI(""The city that the University in the row beside resides in"")")</f>
        <v>=AI("The city that the University in the row beside resides in")</v>
      </c>
      <c r="D152" t="b">
        <v>0</v>
      </c>
      <c r="E152" t="b">
        <v>0</v>
      </c>
      <c r="G152" t="b">
        <v>0</v>
      </c>
      <c r="H152" t="b">
        <v>0</v>
      </c>
    </row>
    <row r="153">
      <c r="C153" t="str">
        <f>IFERROR(__xludf.DUMMYFUNCTION("AI(""The city that the University in the row beside resides in"")"),"I do not have enough information to answer the query. I am missing the name of the university in row 153 to determine the city it resides in.")</f>
        <v>I do not have enough information to answer the query. I am missing the name of the university in row 153 to determine the city it resides in.</v>
      </c>
      <c r="D153" t="b">
        <v>0</v>
      </c>
      <c r="E153" t="b">
        <v>0</v>
      </c>
      <c r="G153" t="b">
        <v>0</v>
      </c>
      <c r="H153" t="b">
        <v>0</v>
      </c>
    </row>
    <row r="154">
      <c r="C154" t="str">
        <f>IFERROR(__xludf.DUMMYFUNCTION("AI(""The city that the University in the row beside resides in"")"),"I do not have enough information to answer the query. The name of the university for this row is missing from the spreadsheet context.")</f>
        <v>I do not have enough information to answer the query. The name of the university for this row is missing from the spreadsheet context.</v>
      </c>
      <c r="D154" t="b">
        <v>0</v>
      </c>
      <c r="E154" t="b">
        <v>0</v>
      </c>
      <c r="G154" t="b">
        <v>0</v>
      </c>
      <c r="H154" t="b">
        <v>0</v>
      </c>
    </row>
    <row r="155">
      <c r="C155" t="str">
        <f>IFERROR(__xludf.DUMMYFUNCTION("AI(""The city that the University in the row beside resides in"")"),"I do not have enough information to answer the query. I am missing the university name for row 155 to determine its city.")</f>
        <v>I do not have enough information to answer the query. I am missing the university name for row 155 to determine its city.</v>
      </c>
      <c r="D155" t="b">
        <v>0</v>
      </c>
      <c r="E155" t="b">
        <v>0</v>
      </c>
      <c r="G155" t="b">
        <v>0</v>
      </c>
      <c r="H155" t="b">
        <v>0</v>
      </c>
    </row>
    <row r="156">
      <c r="C156" t="str">
        <f>IFERROR(__xludf.DUMMYFUNCTION("AI(""The city that the University in the row beside resides in"")"),"I do not have enough information to answer the query. I am missing the university name in row 156 to determine the city it resides in.")</f>
        <v>I do not have enough information to answer the query. I am missing the university name in row 156 to determine the city it resides in.</v>
      </c>
      <c r="D156" t="b">
        <v>0</v>
      </c>
      <c r="E156" t="b">
        <v>0</v>
      </c>
      <c r="G156" t="b">
        <v>0</v>
      </c>
      <c r="H156" t="b">
        <v>0</v>
      </c>
    </row>
    <row r="157">
      <c r="C157" t="str">
        <f>IFERROR(__xludf.DUMMYFUNCTION("AI(""The city that the University in the row beside resides in"")"),"I do not have enough information to answer the query because the university name for this row is missing from the provided context. Please include the university name to find its city.")</f>
        <v>I do not have enough information to answer the query because the university name for this row is missing from the provided context. Please include the university name to find its city.</v>
      </c>
      <c r="D157" t="b">
        <v>0</v>
      </c>
      <c r="E157" t="b">
        <v>0</v>
      </c>
      <c r="G157" t="b">
        <v>0</v>
      </c>
      <c r="H157" t="b">
        <v>0</v>
      </c>
    </row>
    <row r="158">
      <c r="C158" t="str">
        <f>IFERROR(__xludf.DUMMYFUNCTION("AI(""The city that the University in the row beside resides in"")"),"I do not have enough information to answer the query. I am missing the university name for row 158 to determine which city it resides in.")</f>
        <v>I do not have enough information to answer the query. I am missing the university name for row 158 to determine which city it resides in.</v>
      </c>
      <c r="D158" t="b">
        <v>0</v>
      </c>
      <c r="E158" t="b">
        <v>0</v>
      </c>
      <c r="G158" t="b">
        <v>0</v>
      </c>
      <c r="H158" t="b">
        <v>0</v>
      </c>
    </row>
    <row r="159">
      <c r="C159" t="str">
        <f>IFERROR(__xludf.DUMMYFUNCTION("AI(""The city that the University in the row beside resides in"")"),"I do not have enough information to answer the query. I am missing the university name from column B of this row to determine the city it resides in.")</f>
        <v>I do not have enough information to answer the query. I am missing the university name from column B of this row to determine the city it resides in.</v>
      </c>
      <c r="D159" t="b">
        <v>0</v>
      </c>
      <c r="E159" t="b">
        <v>0</v>
      </c>
      <c r="G159" t="b">
        <v>0</v>
      </c>
      <c r="H159" t="b">
        <v>0</v>
      </c>
    </row>
    <row r="160">
      <c r="C160" t="str">
        <f>IFERROR(__xludf.DUMMYFUNCTION("AI(""The city that the University in the row beside resides in"")"),"I do not have enough information to answer the query. I am missing the university name for this row to determine its city.")</f>
        <v>I do not have enough information to answer the query. I am missing the university name for this row to determine its city.</v>
      </c>
      <c r="D160" t="b">
        <v>0</v>
      </c>
      <c r="E160" t="b">
        <v>0</v>
      </c>
      <c r="G160" t="b">
        <v>0</v>
      </c>
      <c r="H160" t="b">
        <v>0</v>
      </c>
    </row>
    <row r="161">
      <c r="C161" t="str">
        <f>IFERROR(__xludf.DUMMYFUNCTION("AI(""The city that the University in the row beside resides in"")"),"I do not have enough information to answer the query. I am missing the university name in column B for this row to determine its city.")</f>
        <v>I do not have enough information to answer the query. I am missing the university name in column B for this row to determine its city.</v>
      </c>
      <c r="D161" t="b">
        <v>0</v>
      </c>
      <c r="E161" t="b">
        <v>0</v>
      </c>
      <c r="G161" t="b">
        <v>0</v>
      </c>
      <c r="H161" t="b">
        <v>0</v>
      </c>
    </row>
    <row r="162">
      <c r="C162" t="str">
        <f>IFERROR(__xludf.DUMMYFUNCTION("AI(""The city that the University in the row beside resides in"")"),"I do not have enough information to answer the query. I am missing the university name for this row to determine its city.")</f>
        <v>I do not have enough information to answer the query. I am missing the university name for this row to determine its city.</v>
      </c>
      <c r="D162" t="b">
        <v>0</v>
      </c>
      <c r="E162" t="b">
        <v>0</v>
      </c>
      <c r="G162" t="b">
        <v>0</v>
      </c>
      <c r="H162" t="b">
        <v>0</v>
      </c>
    </row>
    <row r="163">
      <c r="C163" t="str">
        <f>IFERROR(__xludf.DUMMYFUNCTION("AI(""The city that the University in the row beside resides in"")"),"I do not have enough information to answer the query. I am missing the university name for this row to determine its city.")</f>
        <v>I do not have enough information to answer the query. I am missing the university name for this row to determine its city.</v>
      </c>
      <c r="D163" t="b">
        <v>0</v>
      </c>
      <c r="E163" t="b">
        <v>0</v>
      </c>
      <c r="G163" t="b">
        <v>0</v>
      </c>
      <c r="H163" t="b">
        <v>0</v>
      </c>
    </row>
    <row r="164">
      <c r="C164" t="str">
        <f>IFERROR(__xludf.DUMMYFUNCTION("AI(""The city that the University in the row beside resides in"")"),"=AI(""The city that the University in the row beside resides in"")")</f>
        <v>=AI("The city that the University in the row beside resides in")</v>
      </c>
      <c r="D164" t="b">
        <v>0</v>
      </c>
      <c r="E164" t="b">
        <v>0</v>
      </c>
      <c r="G164" t="b">
        <v>0</v>
      </c>
      <c r="H164" t="b">
        <v>0</v>
      </c>
    </row>
    <row r="165">
      <c r="C165" t="str">
        <f>IFERROR(__xludf.DUMMYFUNCTION("AI(""The city that the University in the row beside resides in"")"),"I do not have enough information to answer the query. I am missing the university name for this row to determine the city it resides in.")</f>
        <v>I do not have enough information to answer the query. I am missing the university name for this row to determine the city it resides in.</v>
      </c>
      <c r="D165" t="b">
        <v>0</v>
      </c>
      <c r="E165" t="b">
        <v>0</v>
      </c>
      <c r="G165" t="b">
        <v>0</v>
      </c>
      <c r="H165" t="b">
        <v>0</v>
      </c>
    </row>
    <row r="166">
      <c r="C166" t="str">
        <f>IFERROR(__xludf.DUMMYFUNCTION("AI(""The city that the University in the row beside resides in"")"),"I do not have enough information to answer the query. I am missing the name of the university in row 166 to determine its city.")</f>
        <v>I do not have enough information to answer the query. I am missing the name of the university in row 166 to determine its city.</v>
      </c>
      <c r="D166" t="b">
        <v>0</v>
      </c>
      <c r="E166" t="b">
        <v>0</v>
      </c>
      <c r="G166" t="b">
        <v>0</v>
      </c>
      <c r="H166" t="b">
        <v>0</v>
      </c>
    </row>
    <row r="167">
      <c r="C167" t="str">
        <f>IFERROR(__xludf.DUMMYFUNCTION("AI(""The city that the University in the row beside resides in"")"),"I do not have enough information to answer the query. I am missing the university name for row 167 to determine its city.")</f>
        <v>I do not have enough information to answer the query. I am missing the university name for row 167 to determine its city.</v>
      </c>
      <c r="D167" t="b">
        <v>0</v>
      </c>
      <c r="E167" t="b">
        <v>0</v>
      </c>
      <c r="G167" t="b">
        <v>0</v>
      </c>
      <c r="H167" t="b">
        <v>0</v>
      </c>
    </row>
    <row r="168">
      <c r="C168" t="str">
        <f>IFERROR(__xludf.DUMMYFUNCTION("AI(""The city that the University in the row beside resides in"")"),"=AI(""The city that the University in the row beside resides in"")")</f>
        <v>=AI("The city that the University in the row beside resides in")</v>
      </c>
      <c r="D168" t="b">
        <v>0</v>
      </c>
      <c r="E168" t="b">
        <v>0</v>
      </c>
      <c r="G168" t="b">
        <v>0</v>
      </c>
      <c r="H168" t="b">
        <v>0</v>
      </c>
    </row>
    <row r="169">
      <c r="C169" t="str">
        <f>IFERROR(__xludf.DUMMYFUNCTION("AI(""The city that the University in the row beside resides in"")"),"I do not have enough information to answer the query. I am missing the university name for this row to determine the city it resides in.")</f>
        <v>I do not have enough information to answer the query. I am missing the university name for this row to determine the city it resides in.</v>
      </c>
      <c r="D169" t="b">
        <v>0</v>
      </c>
      <c r="E169" t="b">
        <v>0</v>
      </c>
      <c r="G169" t="b">
        <v>0</v>
      </c>
      <c r="H169" t="b">
        <v>0</v>
      </c>
    </row>
    <row r="170">
      <c r="C170" t="str">
        <f>IFERROR(__xludf.DUMMYFUNCTION("AI(""The city that the University in the row beside resides in"")"),"I do not have enough information to answer the query. I am missing the university name for this row to determine the city it resides in.")</f>
        <v>I do not have enough information to answer the query. I am missing the university name for this row to determine the city it resides in.</v>
      </c>
      <c r="D170" t="b">
        <v>0</v>
      </c>
      <c r="E170" t="b">
        <v>0</v>
      </c>
      <c r="G170" t="b">
        <v>0</v>
      </c>
      <c r="H170" t="b">
        <v>0</v>
      </c>
    </row>
    <row r="171">
      <c r="C171" t="str">
        <f>IFERROR(__xludf.DUMMYFUNCTION("AI(""The city that the University in the row beside resides in"")"),"I do not have enough information to answer the query. I am missing the university name from column B of this row to determine its city.")</f>
        <v>I do not have enough information to answer the query. I am missing the university name from column B of this row to determine its city.</v>
      </c>
      <c r="D171" t="b">
        <v>0</v>
      </c>
      <c r="E171" t="b">
        <v>0</v>
      </c>
      <c r="G171" t="b">
        <v>0</v>
      </c>
      <c r="H171" t="b">
        <v>0</v>
      </c>
    </row>
    <row r="172">
      <c r="C172" t="str">
        <f>IFERROR(__xludf.DUMMYFUNCTION("AI(""The city that the University in the row beside resides in"")"),"I do not have enough information to answer the query. I am missing the university name for this row to determine the city it resides in.")</f>
        <v>I do not have enough information to answer the query. I am missing the university name for this row to determine the city it resides in.</v>
      </c>
      <c r="D172" t="b">
        <v>0</v>
      </c>
      <c r="E172" t="b">
        <v>0</v>
      </c>
      <c r="G172" t="b">
        <v>0</v>
      </c>
      <c r="H172" t="b">
        <v>0</v>
      </c>
    </row>
    <row r="173">
      <c r="C173" t="str">
        <f>IFERROR(__xludf.DUMMYFUNCTION("AI(""The city that the University in the row beside resides in"")"),"I do not have enough information to answer the query. I am missing the university name for this row to determine the city it resides in.")</f>
        <v>I do not have enough information to answer the query. I am missing the university name for this row to determine the city it resides in.</v>
      </c>
      <c r="D173" t="b">
        <v>0</v>
      </c>
      <c r="E173" t="b">
        <v>0</v>
      </c>
      <c r="G173" t="b">
        <v>0</v>
      </c>
      <c r="H173" t="b">
        <v>0</v>
      </c>
    </row>
    <row r="174">
      <c r="C174" t="str">
        <f>IFERROR(__xludf.DUMMYFUNCTION("AI(""The city that the University in the row beside resides in"")"),"=AI(""The city that the University in the row beside resides in"")")</f>
        <v>=AI("The city that the University in the row beside resides in")</v>
      </c>
      <c r="D174" t="b">
        <v>0</v>
      </c>
      <c r="E174" t="b">
        <v>0</v>
      </c>
      <c r="G174" t="b">
        <v>0</v>
      </c>
      <c r="H174" t="b">
        <v>0</v>
      </c>
    </row>
    <row r="175">
      <c r="C175" t="str">
        <f>IFERROR(__xludf.DUMMYFUNCTION("AI(""The city that the University in the row beside resides in"")"),"I do not have enough information to answer the query. I am missing the university name for row 175 to determine its city.")</f>
        <v>I do not have enough information to answer the query. I am missing the university name for row 175 to determine its city.</v>
      </c>
      <c r="D175" t="b">
        <v>0</v>
      </c>
      <c r="E175" t="b">
        <v>0</v>
      </c>
      <c r="G175" t="b">
        <v>0</v>
      </c>
      <c r="H175" t="b">
        <v>0</v>
      </c>
    </row>
    <row r="176">
      <c r="C176" t="str">
        <f>IFERROR(__xludf.DUMMYFUNCTION("AI(""The city that the University in the row beside resides in"")"),"I do not have enough information to answer the query. I am missing the university name for this row to determine the city it resides in.")</f>
        <v>I do not have enough information to answer the query. I am missing the university name for this row to determine the city it resides in.</v>
      </c>
      <c r="D176" t="b">
        <v>0</v>
      </c>
      <c r="E176" t="b">
        <v>0</v>
      </c>
      <c r="G176" t="b">
        <v>0</v>
      </c>
      <c r="H176" t="b">
        <v>0</v>
      </c>
    </row>
    <row r="177">
      <c r="C177" t="str">
        <f>IFERROR(__xludf.DUMMYFUNCTION("AI(""The city that the University in the row beside resides in"")"),"I do not have enough information to answer the query. I am missing the university name for this row to determine the city it resides in.")</f>
        <v>I do not have enough information to answer the query. I am missing the university name for this row to determine the city it resides in.</v>
      </c>
      <c r="D177" t="b">
        <v>0</v>
      </c>
      <c r="E177" t="b">
        <v>0</v>
      </c>
      <c r="G177" t="b">
        <v>0</v>
      </c>
      <c r="H177" t="b">
        <v>0</v>
      </c>
    </row>
    <row r="178">
      <c r="C178" t="str">
        <f>IFERROR(__xludf.DUMMYFUNCTION("AI(""The city that the University in the row beside resides in"")"),"=AI(""The city that the University in the row beside resides in"")")</f>
        <v>=AI("The city that the University in the row beside resides in")</v>
      </c>
      <c r="D178" t="b">
        <v>0</v>
      </c>
      <c r="E178" t="b">
        <v>0</v>
      </c>
      <c r="G178" t="b">
        <v>0</v>
      </c>
      <c r="H178" t="b">
        <v>0</v>
      </c>
    </row>
    <row r="179">
      <c r="C179" t="str">
        <f>IFERROR(__xludf.DUMMYFUNCTION("AI(""The city that the University in the row beside resides in"")"),"I do not have enough information to answer the query because the university name for this row is missing from the provided context.")</f>
        <v>I do not have enough information to answer the query because the university name for this row is missing from the provided context.</v>
      </c>
      <c r="D179" t="b">
        <v>0</v>
      </c>
      <c r="E179" t="b">
        <v>0</v>
      </c>
      <c r="G179" t="b">
        <v>0</v>
      </c>
      <c r="H179" t="b">
        <v>0</v>
      </c>
    </row>
    <row r="180">
      <c r="C180" t="str">
        <f>IFERROR(__xludf.DUMMYFUNCTION("AI(""The city that the University in the row beside resides in"")"),"=AI(""The city that the University in the row beside resides in"")")</f>
        <v>=AI("The city that the University in the row beside resides in")</v>
      </c>
      <c r="D180" t="b">
        <v>0</v>
      </c>
      <c r="E180" t="b">
        <v>0</v>
      </c>
      <c r="G180" t="b">
        <v>0</v>
      </c>
      <c r="H180" t="b">
        <v>0</v>
      </c>
    </row>
    <row r="181">
      <c r="C181" t="str">
        <f>IFERROR(__xludf.DUMMYFUNCTION("AI(""The city that the University in the row beside resides in"")"),"I do not have enough information to answer the query. I am missing the university name for this row to determine the city it resides in.")</f>
        <v>I do not have enough information to answer the query. I am missing the university name for this row to determine the city it resides in.</v>
      </c>
      <c r="D181" t="b">
        <v>0</v>
      </c>
      <c r="E181" t="b">
        <v>0</v>
      </c>
      <c r="G181" t="b">
        <v>0</v>
      </c>
      <c r="H181" t="b">
        <v>0</v>
      </c>
    </row>
    <row r="182">
      <c r="C182" t="str">
        <f>IFERROR(__xludf.DUMMYFUNCTION("AI(""The city that the University in the row beside resides in"")"),"I do not have enough information to answer the query. I am missing the university name for this row to determine the city.")</f>
        <v>I do not have enough information to answer the query. I am missing the university name for this row to determine the city.</v>
      </c>
      <c r="D182" t="b">
        <v>0</v>
      </c>
      <c r="E182" t="b">
        <v>0</v>
      </c>
      <c r="G182" t="b">
        <v>0</v>
      </c>
      <c r="H182" t="b">
        <v>0</v>
      </c>
    </row>
    <row r="183">
      <c r="C183" t="str">
        <f>IFERROR(__xludf.DUMMYFUNCTION("AI(""The city that the University in the row beside resides in"")"),"I do not have enough information to answer the query. I am missing the university name for row 183 to determine the city it resides in.")</f>
        <v>I do not have enough information to answer the query. I am missing the university name for row 183 to determine the city it resides in.</v>
      </c>
      <c r="D183" t="b">
        <v>0</v>
      </c>
      <c r="E183" t="b">
        <v>0</v>
      </c>
      <c r="G183" t="b">
        <v>0</v>
      </c>
      <c r="H183" t="b">
        <v>0</v>
      </c>
    </row>
    <row r="184">
      <c r="C184" t="str">
        <f>IFERROR(__xludf.DUMMYFUNCTION("AI(""The city that the University in the row beside resides in"")"),"I do not have enough information to determine the city because the university name for this row is missing from the provided context.")</f>
        <v>I do not have enough information to determine the city because the university name for this row is missing from the provided context.</v>
      </c>
      <c r="D184" t="b">
        <v>0</v>
      </c>
      <c r="E184" t="b">
        <v>0</v>
      </c>
      <c r="G184" t="b">
        <v>0</v>
      </c>
      <c r="H184" t="b">
        <v>0</v>
      </c>
    </row>
    <row r="185">
      <c r="C185" t="str">
        <f>IFERROR(__xludf.DUMMYFUNCTION("AI(""The city that the University in the row beside resides in"")"),"I do not have enough information to answer the query because the university name for row 185 is not provided in the context.")</f>
        <v>I do not have enough information to answer the query because the university name for row 185 is not provided in the context.</v>
      </c>
      <c r="D185" t="b">
        <v>0</v>
      </c>
      <c r="E185" t="b">
        <v>0</v>
      </c>
      <c r="G185" t="b">
        <v>0</v>
      </c>
      <c r="H185" t="b">
        <v>0</v>
      </c>
    </row>
    <row r="186">
      <c r="C186" t="str">
        <f>IFERROR(__xludf.DUMMYFUNCTION("AI(""The city that the University in the row beside resides in"")"),"=AI(""The city that the University in the row beside resides in"")")</f>
        <v>=AI("The city that the University in the row beside resides in")</v>
      </c>
      <c r="D186" t="b">
        <v>0</v>
      </c>
      <c r="E186" t="b">
        <v>0</v>
      </c>
      <c r="G186" t="b">
        <v>0</v>
      </c>
      <c r="H186" t="b">
        <v>0</v>
      </c>
    </row>
    <row r="187">
      <c r="C187" t="str">
        <f>IFERROR(__xludf.DUMMYFUNCTION("AI(""The city that the University in the row beside resides in"")"),"I do not have enough information to answer the query. I am missing the university name for this row to determine the city it resides in.")</f>
        <v>I do not have enough information to answer the query. I am missing the university name for this row to determine the city it resides in.</v>
      </c>
      <c r="D187" t="b">
        <v>0</v>
      </c>
      <c r="E187" t="b">
        <v>0</v>
      </c>
      <c r="G187" t="b">
        <v>0</v>
      </c>
      <c r="H187" t="b">
        <v>0</v>
      </c>
    </row>
    <row r="188">
      <c r="C188" t="str">
        <f>IFERROR(__xludf.DUMMYFUNCTION("AI(""The city that the University in the row beside resides in"")"),"I do not have enough information to answer the query. I am missing the university name for row 188 to determine its city.")</f>
        <v>I do not have enough information to answer the query. I am missing the university name for row 188 to determine its city.</v>
      </c>
      <c r="D188" t="b">
        <v>0</v>
      </c>
      <c r="E188" t="b">
        <v>0</v>
      </c>
      <c r="G188" t="b">
        <v>0</v>
      </c>
      <c r="H188" t="b">
        <v>0</v>
      </c>
    </row>
    <row r="189">
      <c r="C189" t="str">
        <f>IFERROR(__xludf.DUMMYFUNCTION("AI(""The city that the University in the row beside resides in"")"),"I do not have enough information to answer the query. I am missing the name of the university for row 189 to determine the city it resides in.")</f>
        <v>I do not have enough information to answer the query. I am missing the name of the university for row 189 to determine the city it resides in.</v>
      </c>
      <c r="D189" t="b">
        <v>0</v>
      </c>
      <c r="E189" t="b">
        <v>0</v>
      </c>
      <c r="G189" t="b">
        <v>0</v>
      </c>
      <c r="H189" t="b">
        <v>0</v>
      </c>
    </row>
    <row r="190">
      <c r="C190" t="str">
        <f>IFERROR(__xludf.DUMMYFUNCTION("AI(""The city that the University in the row beside resides in"")"),"I do not have enough information to answer the query. I am missing the name of the university for this row to determine its city.")</f>
        <v>I do not have enough information to answer the query. I am missing the name of the university for this row to determine its city.</v>
      </c>
      <c r="D190" t="b">
        <v>0</v>
      </c>
      <c r="E190" t="b">
        <v>0</v>
      </c>
      <c r="G190" t="b">
        <v>0</v>
      </c>
      <c r="H190" t="b">
        <v>0</v>
      </c>
    </row>
    <row r="191">
      <c r="C191" t="str">
        <f>IFERROR(__xludf.DUMMYFUNCTION("AI(""The city that the University in the row beside resides in"")"),"=AI(""The city that the University in the row beside resides in"")")</f>
        <v>=AI("The city that the University in the row beside resides in")</v>
      </c>
      <c r="D191" t="b">
        <v>0</v>
      </c>
      <c r="E191" t="b">
        <v>0</v>
      </c>
      <c r="G191" t="b">
        <v>0</v>
      </c>
      <c r="H191" t="b">
        <v>0</v>
      </c>
    </row>
    <row r="192">
      <c r="C192" t="str">
        <f>IFERROR(__xludf.DUMMYFUNCTION("AI(""The city that the University in the row beside resides in"")"),"I do not have enough information to answer the query. I am missing the name of the university in the row beside it to determine the city.")</f>
        <v>I do not have enough information to answer the query. I am missing the name of the university in the row beside it to determine the city.</v>
      </c>
      <c r="D192" t="b">
        <v>0</v>
      </c>
      <c r="E192" t="b">
        <v>0</v>
      </c>
      <c r="G192" t="b">
        <v>0</v>
      </c>
      <c r="H192" t="b">
        <v>0</v>
      </c>
    </row>
    <row r="193">
      <c r="C193" t="str">
        <f>IFERROR(__xludf.DUMMYFUNCTION("AI(""The city that the University in the row beside resides in"")"),"=AI(""The city that the University in the row beside resides in"")")</f>
        <v>=AI("The city that the University in the row beside resides in")</v>
      </c>
      <c r="D193" t="b">
        <v>0</v>
      </c>
      <c r="E193" t="b">
        <v>0</v>
      </c>
      <c r="G193" t="b">
        <v>0</v>
      </c>
      <c r="H193" t="b">
        <v>0</v>
      </c>
    </row>
    <row r="194">
      <c r="C194" t="str">
        <f>IFERROR(__xludf.DUMMYFUNCTION("AI(""The city that the University in the row beside resides in"")"),"I do not have enough information to answer the query. I am missing the university name for this row to determine the city it resides in.")</f>
        <v>I do not have enough information to answer the query. I am missing the university name for this row to determine the city it resides in.</v>
      </c>
      <c r="D194" t="b">
        <v>0</v>
      </c>
      <c r="E194" t="b">
        <v>0</v>
      </c>
      <c r="G194" t="b">
        <v>0</v>
      </c>
      <c r="H194" t="b">
        <v>0</v>
      </c>
    </row>
    <row r="195">
      <c r="C195" t="str">
        <f>IFERROR(__xludf.DUMMYFUNCTION("AI(""The city that the University in the row beside resides in"")"),"I do not have enough information to answer the query. The name of the university for this row is missing from the provided context.")</f>
        <v>I do not have enough information to answer the query. The name of the university for this row is missing from the provided context.</v>
      </c>
      <c r="D195" t="b">
        <v>0</v>
      </c>
      <c r="E195" t="b">
        <v>0</v>
      </c>
      <c r="G195" t="b">
        <v>0</v>
      </c>
      <c r="H195" t="b">
        <v>0</v>
      </c>
    </row>
    <row r="196">
      <c r="C196" t="str">
        <f>IFERROR(__xludf.DUMMYFUNCTION("AI(""The city that the University in the row beside resides in"")"),"I do not have enough information to answer the query. I am missing the university name in row 196 to determine the city it resides in.")</f>
        <v>I do not have enough information to answer the query. I am missing the university name in row 196 to determine the city it resides in.</v>
      </c>
      <c r="D196" t="b">
        <v>0</v>
      </c>
      <c r="E196" t="b">
        <v>0</v>
      </c>
      <c r="G196" t="b">
        <v>0</v>
      </c>
      <c r="H196" t="b">
        <v>0</v>
      </c>
    </row>
    <row r="197">
      <c r="C197" t="str">
        <f>IFERROR(__xludf.DUMMYFUNCTION("AI(""The city that the University in the row beside resides in"")"),"I do not have enough information to answer this query because the university name for this row is missing from the spreadsheet context.")</f>
        <v>I do not have enough information to answer this query because the university name for this row is missing from the spreadsheet context.</v>
      </c>
      <c r="D197" t="b">
        <v>0</v>
      </c>
      <c r="E197" t="b">
        <v>0</v>
      </c>
      <c r="G197" t="b">
        <v>0</v>
      </c>
      <c r="H197" t="b">
        <v>0</v>
      </c>
    </row>
    <row r="198">
      <c r="C198" t="str">
        <f>IFERROR(__xludf.DUMMYFUNCTION("AI(""The city that the University in the row beside resides in"")"),"=AI(""The city that the University in the row beside resides in"")")</f>
        <v>=AI("The city that the University in the row beside resides in")</v>
      </c>
      <c r="D198" t="b">
        <v>0</v>
      </c>
      <c r="E198" t="b">
        <v>0</v>
      </c>
      <c r="G198" t="b">
        <v>0</v>
      </c>
      <c r="H198" t="b">
        <v>0</v>
      </c>
    </row>
    <row r="199">
      <c r="C199" t="str">
        <f>IFERROR(__xludf.DUMMYFUNCTION("AI(""The city that the University in the row beside resides in"")"),"I do not have enough information to answer the query. I am missing the university name for this row to determine the city it resides in.")</f>
        <v>I do not have enough information to answer the query. I am missing the university name for this row to determine the city it resides in.</v>
      </c>
      <c r="D199" t="b">
        <v>0</v>
      </c>
      <c r="E199" t="b">
        <v>0</v>
      </c>
      <c r="G199" t="b">
        <v>0</v>
      </c>
      <c r="H199" t="b">
        <v>0</v>
      </c>
    </row>
    <row r="200">
      <c r="C200" t="str">
        <f>IFERROR(__xludf.DUMMYFUNCTION("AI(""The city that the University in the row beside resides in"")"),"=AI(""The city that the University in the row beside resides in"")")</f>
        <v>=AI("The city that the University in the row beside resides in")</v>
      </c>
      <c r="D200" t="b">
        <v>0</v>
      </c>
      <c r="E200" t="b">
        <v>0</v>
      </c>
      <c r="G200" t="b">
        <v>0</v>
      </c>
      <c r="H200" t="b">
        <v>0</v>
      </c>
    </row>
    <row r="201">
      <c r="C201" t="str">
        <f>IFERROR(__xludf.DUMMYFUNCTION("AI(""The city that the University in the row beside resides in"")"),"I do not have enough information to answer the query. I am missing the name of the university in row 201 to determine the city it resides in.")</f>
        <v>I do not have enough information to answer the query. I am missing the name of the university in row 201 to determine the city it resides in.</v>
      </c>
      <c r="D201" t="b">
        <v>0</v>
      </c>
      <c r="E201" t="b">
        <v>0</v>
      </c>
      <c r="G201" t="b">
        <v>0</v>
      </c>
      <c r="H201" t="b">
        <v>0</v>
      </c>
    </row>
    <row r="202">
      <c r="C202" t="str">
        <f>IFERROR(__xludf.DUMMYFUNCTION("AI(""The city that the University in the row beside resides in"")"),"I do not have enough information to determine the city because the university name for this row is not visible in the provided context. Please include the university name column to get the correct city.")</f>
        <v>I do not have enough information to determine the city because the university name for this row is not visible in the provided context. Please include the university name column to get the correct city.</v>
      </c>
      <c r="D202" t="b">
        <v>0</v>
      </c>
      <c r="E202" t="b">
        <v>0</v>
      </c>
      <c r="G202" t="b">
        <v>0</v>
      </c>
      <c r="H202" t="b">
        <v>0</v>
      </c>
    </row>
    <row r="203">
      <c r="C203" t="str">
        <f>IFERROR(__xludf.DUMMYFUNCTION("AI(""The city that the University in the row beside resides in"")"),"I do not have enough information to answer the query. I am missing the name of the university in the row beside cell C203 to determine its city.")</f>
        <v>I do not have enough information to answer the query. I am missing the name of the university in the row beside cell C203 to determine its city.</v>
      </c>
      <c r="D203" t="b">
        <v>0</v>
      </c>
      <c r="E203" t="b">
        <v>0</v>
      </c>
      <c r="G203" t="b">
        <v>0</v>
      </c>
      <c r="H203" t="b">
        <v>0</v>
      </c>
    </row>
    <row r="204">
      <c r="C204" t="str">
        <f>IFERROR(__xludf.DUMMYFUNCTION("AI(""The city that the University in the row beside resides in"")"),"I do not have enough information to answer the query. I am missing the university name for this row to determine the city it resides in.")</f>
        <v>I do not have enough information to answer the query. I am missing the university name for this row to determine the city it resides in.</v>
      </c>
      <c r="D204" t="b">
        <v>0</v>
      </c>
      <c r="E204" t="b">
        <v>0</v>
      </c>
      <c r="G204" t="b">
        <v>0</v>
      </c>
      <c r="H204" t="b">
        <v>0</v>
      </c>
    </row>
    <row r="205">
      <c r="C205" t="str">
        <f>IFERROR(__xludf.DUMMYFUNCTION("AI(""The city that the University in the row beside resides in"")"),"I do not have enough information to answer the query. The university name for row 205 is missing from the provided data.")</f>
        <v>I do not have enough information to answer the query. The university name for row 205 is missing from the provided data.</v>
      </c>
      <c r="D205" t="b">
        <v>0</v>
      </c>
      <c r="E205" t="b">
        <v>0</v>
      </c>
      <c r="G205" t="b">
        <v>0</v>
      </c>
      <c r="H205" t="b">
        <v>0</v>
      </c>
    </row>
    <row r="206">
      <c r="C206" t="str">
        <f>IFERROR(__xludf.DUMMYFUNCTION("AI(""The city that the University in the row beside resides in"")"),"I do not have enough information to answer the query because the university name in column B for this row is missing from the provided context.")</f>
        <v>I do not have enough information to answer the query because the university name in column B for this row is missing from the provided context.</v>
      </c>
      <c r="D206" t="b">
        <v>0</v>
      </c>
      <c r="E206" t="b">
        <v>0</v>
      </c>
      <c r="G206" t="b">
        <v>0</v>
      </c>
      <c r="H206" t="b">
        <v>0</v>
      </c>
    </row>
    <row r="207">
      <c r="C207" t="str">
        <f>IFERROR(__xludf.DUMMYFUNCTION("AI(""The city that the University in the row beside resides in"")"),"=AI(""The city that the University in the row beside resides in"")")</f>
        <v>=AI("The city that the University in the row beside resides in")</v>
      </c>
      <c r="D207" t="b">
        <v>0</v>
      </c>
      <c r="E207" t="b">
        <v>0</v>
      </c>
      <c r="G207" t="b">
        <v>0</v>
      </c>
      <c r="H207" t="b">
        <v>0</v>
      </c>
    </row>
    <row r="208">
      <c r="C208" t="str">
        <f>IFERROR(__xludf.DUMMYFUNCTION("AI(""The city that the University in the row beside resides in"")"),"I do not have enough information to answer the query. The name of the university in row 208 is missing from the spreadsheet context.")</f>
        <v>I do not have enough information to answer the query. The name of the university in row 208 is missing from the spreadsheet context.</v>
      </c>
      <c r="D208" t="b">
        <v>0</v>
      </c>
      <c r="E208" t="b">
        <v>0</v>
      </c>
      <c r="G208" t="b">
        <v>0</v>
      </c>
      <c r="H208" t="b">
        <v>0</v>
      </c>
    </row>
    <row r="209">
      <c r="C209" t="str">
        <f>IFERROR(__xludf.DUMMYFUNCTION("AI(""The city that the University in the row beside resides in"")"),"I do not have enough information to answer the query. I am missing the university name for this row to determine the city it resides in.")</f>
        <v>I do not have enough information to answer the query. I am missing the university name for this row to determine the city it resides in.</v>
      </c>
      <c r="D209" t="b">
        <v>0</v>
      </c>
      <c r="E209" t="b">
        <v>0</v>
      </c>
      <c r="G209" t="b">
        <v>0</v>
      </c>
      <c r="H209" t="b">
        <v>0</v>
      </c>
    </row>
    <row r="210">
      <c r="C210" t="str">
        <f>IFERROR(__xludf.DUMMYFUNCTION("AI(""The city that the University in the row beside resides in"")"),"I do not have enough information to answer the query. I am missing the university name for this row to determine the city it resides in.")</f>
        <v>I do not have enough information to answer the query. I am missing the university name for this row to determine the city it resides in.</v>
      </c>
      <c r="D210" t="b">
        <v>0</v>
      </c>
      <c r="E210" t="b">
        <v>0</v>
      </c>
      <c r="G210" t="b">
        <v>0</v>
      </c>
      <c r="H210" t="b">
        <v>0</v>
      </c>
    </row>
    <row r="211">
      <c r="C211" t="str">
        <f>IFERROR(__xludf.DUMMYFUNCTION("AI(""The city that the University in the row beside resides in"")"),"I do not have enough information to answer the query. I am missing the university name in column B for this row to determine the city it resides in.")</f>
        <v>I do not have enough information to answer the query. I am missing the university name in column B for this row to determine the city it resides in.</v>
      </c>
      <c r="D211" t="b">
        <v>0</v>
      </c>
      <c r="E211" t="b">
        <v>0</v>
      </c>
      <c r="G211" t="b">
        <v>0</v>
      </c>
      <c r="H211" t="b">
        <v>0</v>
      </c>
    </row>
    <row r="212">
      <c r="C212" t="str">
        <f>IFERROR(__xludf.DUMMYFUNCTION("AI(""The city that the University in the row beside resides in"")"),"I do not have enough information to answer the query. I am missing the university name for row 212 to determine its city.")</f>
        <v>I do not have enough information to answer the query. I am missing the university name for row 212 to determine its city.</v>
      </c>
      <c r="D212" t="b">
        <v>0</v>
      </c>
      <c r="E212" t="b">
        <v>0</v>
      </c>
      <c r="G212" t="b">
        <v>0</v>
      </c>
      <c r="H212" t="b">
        <v>0</v>
      </c>
    </row>
    <row r="213">
      <c r="C213" t="str">
        <f>IFERROR(__xludf.DUMMYFUNCTION("AI(""The city that the University in the row beside resides in"")"),"I do not have enough information to answer the query. I am missing the university name for this row to determine its city.")</f>
        <v>I do not have enough information to answer the query. I am missing the university name for this row to determine its city.</v>
      </c>
      <c r="D213" t="b">
        <v>0</v>
      </c>
      <c r="E213" t="b">
        <v>0</v>
      </c>
      <c r="G213" t="b">
        <v>0</v>
      </c>
      <c r="H213" t="b">
        <v>0</v>
      </c>
    </row>
    <row r="214">
      <c r="C214" t="str">
        <f>IFERROR(__xludf.DUMMYFUNCTION("AI(""The city that the University in the row beside resides in"")"),"I do not have enough information to answer the query. I am missing the university name for row 214 to determine its city.")</f>
        <v>I do not have enough information to answer the query. I am missing the university name for row 214 to determine its city.</v>
      </c>
      <c r="D214" t="b">
        <v>0</v>
      </c>
      <c r="E214" t="b">
        <v>0</v>
      </c>
      <c r="G214" t="b">
        <v>0</v>
      </c>
      <c r="H214" t="b">
        <v>0</v>
      </c>
    </row>
    <row r="215">
      <c r="C215" t="str">
        <f>IFERROR(__xludf.DUMMYFUNCTION("AI(""The city that the University in the row beside resides in"")"),"I do not have enough information to answer the query. The university name for the specific row is missing from the provided context.")</f>
        <v>I do not have enough information to answer the query. The university name for the specific row is missing from the provided context.</v>
      </c>
      <c r="D215" t="b">
        <v>0</v>
      </c>
      <c r="E215" t="b">
        <v>0</v>
      </c>
      <c r="G215" t="b">
        <v>0</v>
      </c>
      <c r="H215" t="b">
        <v>0</v>
      </c>
    </row>
    <row r="216">
      <c r="C216" t="str">
        <f>IFERROR(__xludf.DUMMYFUNCTION("AI(""The city that the University in the row beside resides in"")"),"I do not have enough information to answer the query. I am missing the university name for this row to determine the city it resides in.")</f>
        <v>I do not have enough information to answer the query. I am missing the university name for this row to determine the city it resides in.</v>
      </c>
      <c r="D216" t="b">
        <v>0</v>
      </c>
      <c r="E216" t="b">
        <v>0</v>
      </c>
      <c r="G216" t="b">
        <v>0</v>
      </c>
      <c r="H216" t="b">
        <v>0</v>
      </c>
    </row>
    <row r="217">
      <c r="C217" t="str">
        <f>IFERROR(__xludf.DUMMYFUNCTION("AI(""The city that the University in the row beside resides in"")"),"I do not have enough information to answer the query. I am missing the name of the university in row 217 to determine its city.")</f>
        <v>I do not have enough information to answer the query. I am missing the name of the university in row 217 to determine its city.</v>
      </c>
      <c r="D217" t="b">
        <v>0</v>
      </c>
      <c r="E217" t="b">
        <v>0</v>
      </c>
      <c r="G217" t="b">
        <v>0</v>
      </c>
      <c r="H217" t="b">
        <v>0</v>
      </c>
    </row>
    <row r="218">
      <c r="C218" t="str">
        <f>IFERROR(__xludf.DUMMYFUNCTION("AI(""The city that the University in the row beside resides in"")"),"I do not have enough information to answer the query. I am missing the university name for this row to determine the city it resides in.")</f>
        <v>I do not have enough information to answer the query. I am missing the university name for this row to determine the city it resides in.</v>
      </c>
      <c r="D218" t="b">
        <v>0</v>
      </c>
      <c r="E218" t="b">
        <v>0</v>
      </c>
      <c r="G218" t="b">
        <v>0</v>
      </c>
      <c r="H218" t="b">
        <v>0</v>
      </c>
    </row>
    <row r="219">
      <c r="C219" t="str">
        <f>IFERROR(__xludf.DUMMYFUNCTION("AI(""The city that the University in the row beside resides in"")"),"=AI(""The city that the University in the row beside resides in"")")</f>
        <v>=AI("The city that the University in the row beside resides in")</v>
      </c>
      <c r="D219" t="b">
        <v>0</v>
      </c>
      <c r="E219" t="b">
        <v>0</v>
      </c>
      <c r="G219" t="b">
        <v>0</v>
      </c>
      <c r="H219" t="b">
        <v>0</v>
      </c>
    </row>
    <row r="220">
      <c r="C220" t="str">
        <f>IFERROR(__xludf.DUMMYFUNCTION("AI(""The city that the University in the row beside resides in"")"),"I do not have enough information to answer the query. I am missing the university name for this row to determine the city it resides in.")</f>
        <v>I do not have enough information to answer the query. I am missing the university name for this row to determine the city it resides in.</v>
      </c>
      <c r="D220" t="b">
        <v>0</v>
      </c>
      <c r="E220" t="b">
        <v>0</v>
      </c>
      <c r="G220" t="b">
        <v>0</v>
      </c>
      <c r="H220" t="b">
        <v>0</v>
      </c>
    </row>
    <row r="221">
      <c r="C221" t="str">
        <f>IFERROR(__xludf.DUMMYFUNCTION("AI(""The city that the University in the row beside resides in"")"),"I do not have enough information to answer the query. I am missing the university name for this row to determine its city.")</f>
        <v>I do not have enough information to answer the query. I am missing the university name for this row to determine its city.</v>
      </c>
      <c r="D221" t="b">
        <v>0</v>
      </c>
      <c r="E221" t="b">
        <v>0</v>
      </c>
      <c r="G221" t="b">
        <v>0</v>
      </c>
      <c r="H221" t="b">
        <v>0</v>
      </c>
    </row>
    <row r="222">
      <c r="C222" t="str">
        <f>IFERROR(__xludf.DUMMYFUNCTION("AI(""The city that the University in the row beside resides in"")"),"I do not have enough information to answer the query. I am missing the university name in column B (NLUniversityName) for this row to determine its city.")</f>
        <v>I do not have enough information to answer the query. I am missing the university name in column B (NLUniversityName) for this row to determine its city.</v>
      </c>
      <c r="D222" t="b">
        <v>0</v>
      </c>
      <c r="E222" t="b">
        <v>0</v>
      </c>
      <c r="G222" t="b">
        <v>0</v>
      </c>
      <c r="H222" t="b">
        <v>0</v>
      </c>
    </row>
    <row r="223">
      <c r="C223" t="str">
        <f>IFERROR(__xludf.DUMMYFUNCTION("AI(""The city that the University in the row beside resides in"")"),"=AI(""The city that the University in the row beside resides in"")")</f>
        <v>=AI("The city that the University in the row beside resides in")</v>
      </c>
      <c r="D223" t="b">
        <v>0</v>
      </c>
      <c r="E223" t="b">
        <v>0</v>
      </c>
      <c r="G223" t="b">
        <v>0</v>
      </c>
      <c r="H223" t="b">
        <v>0</v>
      </c>
    </row>
    <row r="224">
      <c r="C224" t="str">
        <f>IFERROR(__xludf.DUMMYFUNCTION("AI(""The city that the University in the row beside resides in"")"),"I do not have enough information to answer the query. I am missing the university name for row 224 to determine its city.")</f>
        <v>I do not have enough information to answer the query. I am missing the university name for row 224 to determine its city.</v>
      </c>
      <c r="D224" t="b">
        <v>0</v>
      </c>
      <c r="E224" t="b">
        <v>0</v>
      </c>
      <c r="G224" t="b">
        <v>0</v>
      </c>
      <c r="H224" t="b">
        <v>0</v>
      </c>
    </row>
    <row r="225">
      <c r="C225" t="str">
        <f>IFERROR(__xludf.DUMMYFUNCTION("AI(""The city that the University in the row beside resides in"")"),"I do not have enough information to answer the query. I am missing the university name for row 225 (column B) to determine the city it resides in.")</f>
        <v>I do not have enough information to answer the query. I am missing the university name for row 225 (column B) to determine the city it resides in.</v>
      </c>
      <c r="D225" t="b">
        <v>0</v>
      </c>
      <c r="E225" t="b">
        <v>0</v>
      </c>
      <c r="G225" t="b">
        <v>0</v>
      </c>
      <c r="H225" t="b">
        <v>0</v>
      </c>
    </row>
    <row r="226">
      <c r="C226" t="str">
        <f>IFERROR(__xludf.DUMMYFUNCTION("AI(""The city that the University in the row beside resides in"")"),"I do not have enough information to answer the query because the university name for row 226 is missing from the provided context.")</f>
        <v>I do not have enough information to answer the query because the university name for row 226 is missing from the provided context.</v>
      </c>
      <c r="D226" t="b">
        <v>0</v>
      </c>
      <c r="E226" t="b">
        <v>0</v>
      </c>
      <c r="G226" t="b">
        <v>0</v>
      </c>
      <c r="H226" t="b">
        <v>0</v>
      </c>
    </row>
    <row r="227">
      <c r="C227" t="str">
        <f>IFERROR(__xludf.DUMMYFUNCTION("AI(""The city that the University in the row beside resides in"")"),"I do not have enough information to answer the query. I am missing the university name in column B for row 227 to determine its city.")</f>
        <v>I do not have enough information to answer the query. I am missing the university name in column B for row 227 to determine its city.</v>
      </c>
      <c r="D227" t="b">
        <v>0</v>
      </c>
      <c r="E227" t="b">
        <v>0</v>
      </c>
      <c r="G227" t="b">
        <v>0</v>
      </c>
      <c r="H227" t="b">
        <v>0</v>
      </c>
    </row>
    <row r="228">
      <c r="C228" t="str">
        <f>IFERROR(__xludf.DUMMYFUNCTION("AI(""The city that the University in the row beside resides in"")"),"I do not have enough information to answer the query. I am missing the name of the university in row 228 to determine its city.")</f>
        <v>I do not have enough information to answer the query. I am missing the name of the university in row 228 to determine its city.</v>
      </c>
      <c r="D228" t="b">
        <v>0</v>
      </c>
      <c r="E228" t="b">
        <v>0</v>
      </c>
      <c r="G228" t="b">
        <v>0</v>
      </c>
      <c r="H228" t="b">
        <v>0</v>
      </c>
    </row>
    <row r="229">
      <c r="C229" t="str">
        <f>IFERROR(__xludf.DUMMYFUNCTION("AI(""The city that the University in the row beside resides in"")"),"I do not have enough information to answer the query. I am missing the university name for this specific row to determine its city.")</f>
        <v>I do not have enough information to answer the query. I am missing the university name for this specific row to determine its city.</v>
      </c>
      <c r="D229" t="b">
        <v>0</v>
      </c>
      <c r="E229" t="b">
        <v>0</v>
      </c>
      <c r="G229" t="b">
        <v>0</v>
      </c>
      <c r="H229" t="b">
        <v>0</v>
      </c>
    </row>
    <row r="230">
      <c r="C230" t="str">
        <f>IFERROR(__xludf.DUMMYFUNCTION("AI(""The city that the University in the row beside resides in"")"),"I do not have enough information to answer the query because the university name for row 230 is missing from the provided spreadsheet context.")</f>
        <v>I do not have enough information to answer the query because the university name for row 230 is missing from the provided spreadsheet context.</v>
      </c>
      <c r="D230" t="b">
        <v>0</v>
      </c>
      <c r="E230" t="b">
        <v>0</v>
      </c>
      <c r="G230" t="b">
        <v>0</v>
      </c>
      <c r="H230" t="b">
        <v>0</v>
      </c>
    </row>
    <row r="231">
      <c r="C231" t="str">
        <f>IFERROR(__xludf.DUMMYFUNCTION("AI(""The city that the University in the row beside resides in"")"),"I do not have enough information to answer the query. I am missing the university name for this row to determine the city it resides in.")</f>
        <v>I do not have enough information to answer the query. I am missing the university name for this row to determine the city it resides in.</v>
      </c>
      <c r="D231" t="b">
        <v>0</v>
      </c>
      <c r="E231" t="b">
        <v>0</v>
      </c>
      <c r="G231" t="b">
        <v>0</v>
      </c>
      <c r="H231" t="b">
        <v>0</v>
      </c>
    </row>
    <row r="232">
      <c r="C232" t="str">
        <f>IFERROR(__xludf.DUMMYFUNCTION("AI(""The city that the University in the row beside resides in"")"),"=AI(""The city that the University in the row beside resides in"")")</f>
        <v>=AI("The city that the University in the row beside resides in")</v>
      </c>
      <c r="D232" t="b">
        <v>0</v>
      </c>
      <c r="E232" t="b">
        <v>0</v>
      </c>
      <c r="G232" t="b">
        <v>0</v>
      </c>
      <c r="H232" t="b">
        <v>0</v>
      </c>
    </row>
    <row r="233">
      <c r="C233" t="str">
        <f>IFERROR(__xludf.DUMMYFUNCTION("AI(""The city that the University in the row beside resides in"")"),"=AI(""The city that the University in the row beside resides in"")")</f>
        <v>=AI("The city that the University in the row beside resides in")</v>
      </c>
      <c r="D233" t="b">
        <v>0</v>
      </c>
      <c r="E233" t="b">
        <v>0</v>
      </c>
      <c r="G233" t="b">
        <v>0</v>
      </c>
      <c r="H233" t="b">
        <v>0</v>
      </c>
    </row>
    <row r="234">
      <c r="C234" t="str">
        <f>IFERROR(__xludf.DUMMYFUNCTION("AI(""The city that the University in the row beside resides in"")"),"=AI(""The city that the University in the row beside resides in"")")</f>
        <v>=AI("The city that the University in the row beside resides in")</v>
      </c>
      <c r="D234" t="b">
        <v>0</v>
      </c>
      <c r="E234" t="b">
        <v>0</v>
      </c>
      <c r="G234" t="b">
        <v>0</v>
      </c>
      <c r="H234" t="b">
        <v>0</v>
      </c>
    </row>
    <row r="235">
      <c r="C235" t="str">
        <f>IFERROR(__xludf.DUMMYFUNCTION("AI(""The city that the University in the row beside resides in"")"),"I do not have enough information to answer the query. I am missing the name of the university in row 235 to determine its city.")</f>
        <v>I do not have enough information to answer the query. I am missing the name of the university in row 235 to determine its city.</v>
      </c>
      <c r="D235" t="b">
        <v>0</v>
      </c>
      <c r="E235" t="b">
        <v>0</v>
      </c>
      <c r="G235" t="b">
        <v>0</v>
      </c>
      <c r="H235" t="b">
        <v>0</v>
      </c>
    </row>
    <row r="236">
      <c r="C236" t="str">
        <f>IFERROR(__xludf.DUMMYFUNCTION("AI(""The city that the University in the row beside resides in"")"),"I do not have enough information to determine the city because the university name in the row beside is missing from the provided context.")</f>
        <v>I do not have enough information to determine the city because the university name in the row beside is missing from the provided context.</v>
      </c>
      <c r="D236" t="b">
        <v>0</v>
      </c>
      <c r="E236" t="b">
        <v>0</v>
      </c>
      <c r="G236" t="b">
        <v>0</v>
      </c>
      <c r="H236" t="b">
        <v>0</v>
      </c>
    </row>
    <row r="237">
      <c r="C237" t="str">
        <f>IFERROR(__xludf.DUMMYFUNCTION("AI(""The city that the University in the row beside resides in"")"),"I do not have enough information to answer the query. I am missing the name of the university in row 237 to determine the city it resides in.")</f>
        <v>I do not have enough information to answer the query. I am missing the name of the university in row 237 to determine the city it resides in.</v>
      </c>
      <c r="D237" t="b">
        <v>0</v>
      </c>
      <c r="E237" t="b">
        <v>0</v>
      </c>
      <c r="G237" t="b">
        <v>0</v>
      </c>
      <c r="H237" t="b">
        <v>0</v>
      </c>
    </row>
    <row r="238">
      <c r="C238" t="str">
        <f>IFERROR(__xludf.DUMMYFUNCTION("AI(""The city that the University in the row beside resides in"")"),"I do not have enough information to answer the query. I am missing the name of the university in row 238 to determine the city it resides in.")</f>
        <v>I do not have enough information to answer the query. I am missing the name of the university in row 238 to determine the city it resides in.</v>
      </c>
      <c r="D238" t="b">
        <v>0</v>
      </c>
      <c r="E238" t="b">
        <v>0</v>
      </c>
      <c r="G238" t="b">
        <v>0</v>
      </c>
      <c r="H238" t="b">
        <v>0</v>
      </c>
    </row>
    <row r="239">
      <c r="C239" t="str">
        <f>IFERROR(__xludf.DUMMYFUNCTION("AI(""The city that the University in the row beside resides in"")"),"Amsterdam")</f>
        <v>Amsterdam</v>
      </c>
      <c r="D239" t="b">
        <v>0</v>
      </c>
      <c r="E239" t="b">
        <v>0</v>
      </c>
      <c r="G239" t="b">
        <v>0</v>
      </c>
      <c r="H239" t="b">
        <v>0</v>
      </c>
    </row>
    <row r="240">
      <c r="C240" t="str">
        <f>IFERROR(__xludf.DUMMYFUNCTION("AI(""The city that the University in the row beside resides in"")"),"I do not have enough information to answer the query. The name of the university in row 240 is missing from the provided spreadsheet context. Please include the university name to find its city.")</f>
        <v>I do not have enough information to answer the query. The name of the university in row 240 is missing from the provided spreadsheet context. Please include the university name to find its city.</v>
      </c>
      <c r="D240" t="b">
        <v>0</v>
      </c>
      <c r="E240" t="b">
        <v>0</v>
      </c>
      <c r="G240" t="b">
        <v>0</v>
      </c>
      <c r="H240" t="b">
        <v>0</v>
      </c>
    </row>
    <row r="241">
      <c r="C241" t="str">
        <f>IFERROR(__xludf.DUMMYFUNCTION("AI(""The city that the University in the row beside resides in"")"),"I do not have enough information to answer the query. I am missing the name of the university in row 241 to determine its city.")</f>
        <v>I do not have enough information to answer the query. I am missing the name of the university in row 241 to determine its city.</v>
      </c>
      <c r="D241" t="b">
        <v>0</v>
      </c>
      <c r="E241" t="b">
        <v>0</v>
      </c>
      <c r="G241" t="b">
        <v>0</v>
      </c>
      <c r="H241" t="b">
        <v>0</v>
      </c>
    </row>
    <row r="242">
      <c r="C242" t="str">
        <f>IFERROR(__xludf.DUMMYFUNCTION("AI(""The city that the University in the row beside resides in"")"),"I do not have enough information to answer the query. I am missing the university name for this row to determine its city.")</f>
        <v>I do not have enough information to answer the query. I am missing the university name for this row to determine its city.</v>
      </c>
      <c r="D242" t="b">
        <v>0</v>
      </c>
      <c r="E242" t="b">
        <v>0</v>
      </c>
      <c r="G242" t="b">
        <v>0</v>
      </c>
      <c r="H242" t="b">
        <v>0</v>
      </c>
    </row>
    <row r="243">
      <c r="C243" t="str">
        <f>IFERROR(__xludf.DUMMYFUNCTION("AI(""The city that the University in the row beside resides in"")"),"I do not have enough information to answer the query. I am missing the name of the university in row 243 to determine which city it resides in.")</f>
        <v>I do not have enough information to answer the query. I am missing the name of the university in row 243 to determine which city it resides in.</v>
      </c>
      <c r="D243" t="b">
        <v>0</v>
      </c>
      <c r="E243" t="b">
        <v>0</v>
      </c>
      <c r="G243" t="b">
        <v>0</v>
      </c>
      <c r="H243" t="b">
        <v>0</v>
      </c>
    </row>
    <row r="244">
      <c r="C244" t="str">
        <f>IFERROR(__xludf.DUMMYFUNCTION("AI(""The city that the University in the row beside resides in"")"),"I do not have enough information to answer the query. I am missing the university name for this row to determine its city.")</f>
        <v>I do not have enough information to answer the query. I am missing the university name for this row to determine its city.</v>
      </c>
      <c r="D244" t="b">
        <v>0</v>
      </c>
      <c r="E244" t="b">
        <v>0</v>
      </c>
      <c r="G244" t="b">
        <v>0</v>
      </c>
      <c r="H244" t="b">
        <v>0</v>
      </c>
    </row>
    <row r="245">
      <c r="C245" t="str">
        <f>IFERROR(__xludf.DUMMYFUNCTION("AI(""The city that the University in the row beside resides in"")"),"I do not have enough information to answer the query because the university name for row 245 is not provided in the context.")</f>
        <v>I do not have enough information to answer the query because the university name for row 245 is not provided in the context.</v>
      </c>
      <c r="D245" t="b">
        <v>0</v>
      </c>
      <c r="E245" t="b">
        <v>0</v>
      </c>
      <c r="G245" t="b">
        <v>0</v>
      </c>
      <c r="H245" t="b">
        <v>0</v>
      </c>
    </row>
    <row r="246">
      <c r="C246" t="str">
        <f>IFERROR(__xludf.DUMMYFUNCTION("AI(""The city that the University in the row beside resides in"")"),"I do not have enough information to answer the query. The name of the university in row 246 is missing from the provided spreadsheet context.")</f>
        <v>I do not have enough information to answer the query. The name of the university in row 246 is missing from the provided spreadsheet context.</v>
      </c>
      <c r="D246" t="b">
        <v>0</v>
      </c>
      <c r="E246" t="b">
        <v>0</v>
      </c>
      <c r="G246" t="b">
        <v>0</v>
      </c>
      <c r="H246" t="b">
        <v>0</v>
      </c>
    </row>
    <row r="247">
      <c r="C247" t="str">
        <f>IFERROR(__xludf.DUMMYFUNCTION("AI(""The city that the University in the row beside resides in"")"),"=AI(""The city that the University in the row beside resides in"")")</f>
        <v>=AI("The city that the University in the row beside resides in")</v>
      </c>
      <c r="D247" t="b">
        <v>0</v>
      </c>
      <c r="E247" t="b">
        <v>0</v>
      </c>
      <c r="G247" t="b">
        <v>0</v>
      </c>
      <c r="H247" t="b">
        <v>0</v>
      </c>
    </row>
    <row r="248">
      <c r="C248" t="str">
        <f>IFERROR(__xludf.DUMMYFUNCTION("AI(""The city that the University in the row beside resides in"")"),"I do not have enough information to answer the query. I am missing the university name for this row to determine the city it resides in.")</f>
        <v>I do not have enough information to answer the query. I am missing the university name for this row to determine the city it resides in.</v>
      </c>
      <c r="D248" t="b">
        <v>0</v>
      </c>
      <c r="E248" t="b">
        <v>0</v>
      </c>
      <c r="G248" t="b">
        <v>0</v>
      </c>
      <c r="H248" t="b">
        <v>0</v>
      </c>
    </row>
    <row r="249">
      <c r="C249" t="str">
        <f>IFERROR(__xludf.DUMMYFUNCTION("AI(""The city that the University in the row beside resides in"")"),"I do not have enough information to answer the query because the university name for row 249 is not visible in the provided context.")</f>
        <v>I do not have enough information to answer the query because the university name for row 249 is not visible in the provided context.</v>
      </c>
      <c r="D249" t="b">
        <v>0</v>
      </c>
      <c r="E249" t="b">
        <v>0</v>
      </c>
      <c r="G249" t="b">
        <v>0</v>
      </c>
      <c r="H249" t="b">
        <v>0</v>
      </c>
    </row>
    <row r="250">
      <c r="C250" t="str">
        <f>IFERROR(__xludf.DUMMYFUNCTION("AI(""The city that the University in the row beside resides in"")"),"=AI(""The city that the University in the row beside resides in"")")</f>
        <v>=AI("The city that the University in the row beside resides in")</v>
      </c>
      <c r="D250" t="b">
        <v>0</v>
      </c>
      <c r="E250" t="b">
        <v>0</v>
      </c>
      <c r="G250" t="b">
        <v>0</v>
      </c>
      <c r="H250" t="b">
        <v>0</v>
      </c>
    </row>
    <row r="251">
      <c r="C251" t="str">
        <f>IFERROR(__xludf.DUMMYFUNCTION("AI(""The city that the University in the row beside resides in"")"),"I do not have enough information to answer the query. I am missing the university name for row 251 to determine its city.")</f>
        <v>I do not have enough information to answer the query. I am missing the university name for row 251 to determine its city.</v>
      </c>
      <c r="D251" t="b">
        <v>0</v>
      </c>
      <c r="E251" t="b">
        <v>0</v>
      </c>
      <c r="G251" t="b">
        <v>0</v>
      </c>
      <c r="H251" t="b">
        <v>0</v>
      </c>
    </row>
    <row r="252">
      <c r="C252" t="str">
        <f>IFERROR(__xludf.DUMMYFUNCTION("AI(""The city that the University in the row beside resides in"")"),"I do not have enough information to answer the query. I am missing the university name for this row to determine the city it resides in.")</f>
        <v>I do not have enough information to answer the query. I am missing the university name for this row to determine the city it resides in.</v>
      </c>
      <c r="D252" t="b">
        <v>0</v>
      </c>
      <c r="E252" t="b">
        <v>0</v>
      </c>
      <c r="G252" t="b">
        <v>0</v>
      </c>
      <c r="H252" t="b">
        <v>0</v>
      </c>
    </row>
    <row r="253">
      <c r="C253" t="str">
        <f>IFERROR(__xludf.DUMMYFUNCTION("AI(""The city that the University in the row beside resides in"")"),"I do not have enough information to answer the query. I am missing the university name for this row to determine the city it resides in.")</f>
        <v>I do not have enough information to answer the query. I am missing the university name for this row to determine the city it resides in.</v>
      </c>
      <c r="D253" t="b">
        <v>0</v>
      </c>
      <c r="E253" t="b">
        <v>0</v>
      </c>
      <c r="G253" t="b">
        <v>0</v>
      </c>
      <c r="H253" t="b">
        <v>0</v>
      </c>
    </row>
    <row r="254">
      <c r="C254" t="str">
        <f>IFERROR(__xludf.DUMMYFUNCTION("AI(""The city that the University in the row beside resides in"")"),"I do not have enough information to answer the query because the university name for this row is missing from the provided context.")</f>
        <v>I do not have enough information to answer the query because the university name for this row is missing from the provided context.</v>
      </c>
      <c r="D254" t="b">
        <v>0</v>
      </c>
      <c r="E254" t="b">
        <v>0</v>
      </c>
      <c r="G254" t="b">
        <v>0</v>
      </c>
      <c r="H254" t="b">
        <v>0</v>
      </c>
    </row>
    <row r="255">
      <c r="C255" t="str">
        <f>IFERROR(__xludf.DUMMYFUNCTION("AI(""The city that the University in the row beside resides in"")"),"I do not have enough information to answer the query. I am missing the university name for this row to determine the city it resides in.")</f>
        <v>I do not have enough information to answer the query. I am missing the university name for this row to determine the city it resides in.</v>
      </c>
      <c r="D255" t="b">
        <v>0</v>
      </c>
      <c r="E255" t="b">
        <v>0</v>
      </c>
      <c r="G255" t="b">
        <v>0</v>
      </c>
      <c r="H255" t="b">
        <v>0</v>
      </c>
    </row>
    <row r="256">
      <c r="C256" t="str">
        <f>IFERROR(__xludf.DUMMYFUNCTION("AI(""The city that the University in the row beside resides in"")"),"=AI(""The city that the University in the row beside resides in"")")</f>
        <v>=AI("The city that the University in the row beside resides in")</v>
      </c>
      <c r="D256" t="b">
        <v>0</v>
      </c>
      <c r="E256" t="b">
        <v>0</v>
      </c>
      <c r="G256" t="b">
        <v>0</v>
      </c>
      <c r="H256" t="b">
        <v>0</v>
      </c>
    </row>
    <row r="257">
      <c r="C257" t="str">
        <f>IFERROR(__xludf.DUMMYFUNCTION("AI(""The city that the University in the row beside resides in"")"),"I do not have enough information to answer the query. I am missing the university name for this row to determine its city.")</f>
        <v>I do not have enough information to answer the query. I am missing the university name for this row to determine its city.</v>
      </c>
      <c r="D257" t="b">
        <v>0</v>
      </c>
      <c r="E257" t="b">
        <v>0</v>
      </c>
      <c r="G257" t="b">
        <v>0</v>
      </c>
      <c r="H257" t="b">
        <v>0</v>
      </c>
    </row>
    <row r="258">
      <c r="C258" t="str">
        <f>IFERROR(__xludf.DUMMYFUNCTION("AI(""The city that the University in the row beside resides in"")"),"I do not have enough information to answer the query. I am missing the name of the university for this row to determine its city.")</f>
        <v>I do not have enough information to answer the query. I am missing the name of the university for this row to determine its city.</v>
      </c>
      <c r="D258" t="b">
        <v>0</v>
      </c>
      <c r="E258" t="b">
        <v>0</v>
      </c>
      <c r="G258" t="b">
        <v>0</v>
      </c>
      <c r="H258" t="b">
        <v>0</v>
      </c>
    </row>
    <row r="259">
      <c r="C259" t="str">
        <f>IFERROR(__xludf.DUMMYFUNCTION("AI(""The city that the University in the row beside resides in"")"),"I do not have enough information to answer the query. I am missing the university name for this row to determine its city.")</f>
        <v>I do not have enough information to answer the query. I am missing the university name for this row to determine its city.</v>
      </c>
      <c r="D259" t="b">
        <v>0</v>
      </c>
      <c r="E259" t="b">
        <v>0</v>
      </c>
      <c r="G259" t="b">
        <v>0</v>
      </c>
      <c r="H259" t="b">
        <v>0</v>
      </c>
    </row>
    <row r="260">
      <c r="C260" t="str">
        <f>IFERROR(__xludf.DUMMYFUNCTION("AI(""The city that the University in the row beside resides in"")"),"I do not have enough information to answer the query. I am missing the university name (column B) for this row to determine the city.")</f>
        <v>I do not have enough information to answer the query. I am missing the university name (column B) for this row to determine the city.</v>
      </c>
      <c r="D260" t="b">
        <v>0</v>
      </c>
      <c r="E260" t="b">
        <v>0</v>
      </c>
      <c r="G260" t="b">
        <v>0</v>
      </c>
      <c r="H260" t="b">
        <v>0</v>
      </c>
    </row>
    <row r="261">
      <c r="C261" t="str">
        <f>IFERROR(__xludf.DUMMYFUNCTION("AI(""The city that the University in the row beside resides in"")"),"I do not have enough information to answer the query. I am missing the university name in row 261 to determine the city it resides in.")</f>
        <v>I do not have enough information to answer the query. I am missing the university name in row 261 to determine the city it resides in.</v>
      </c>
      <c r="D261" t="b">
        <v>0</v>
      </c>
      <c r="E261" t="b">
        <v>0</v>
      </c>
      <c r="G261" t="b">
        <v>0</v>
      </c>
      <c r="H261" t="b">
        <v>0</v>
      </c>
    </row>
    <row r="262">
      <c r="C262" t="str">
        <f>IFERROR(__xludf.DUMMYFUNCTION("AI(""The city that the University in the row beside resides in"")"),"I do not have enough information to answer the query. I am missing the university name for this specific row to determine the city it resides in.")</f>
        <v>I do not have enough information to answer the query. I am missing the university name for this specific row to determine the city it resides in.</v>
      </c>
      <c r="D262" t="b">
        <v>0</v>
      </c>
      <c r="E262" t="b">
        <v>0</v>
      </c>
      <c r="G262" t="b">
        <v>0</v>
      </c>
      <c r="H262" t="b">
        <v>0</v>
      </c>
    </row>
    <row r="263">
      <c r="C263" t="str">
        <f>IFERROR(__xludf.DUMMYFUNCTION("AI(""The city that the University in the row beside resides in"")"),"I do not have enough information to answer the query. The university name for this row is missing from the provided context.")</f>
        <v>I do not have enough information to answer the query. The university name for this row is missing from the provided context.</v>
      </c>
      <c r="D263" t="b">
        <v>0</v>
      </c>
      <c r="E263" t="b">
        <v>0</v>
      </c>
      <c r="G263" t="b">
        <v>0</v>
      </c>
      <c r="H263" t="b">
        <v>0</v>
      </c>
    </row>
    <row r="264">
      <c r="C264" t="str">
        <f>IFERROR(__xludf.DUMMYFUNCTION("AI(""The city that the University in the row beside resides in"")"),"=AI(""The city that the University in the row beside resides in"")")</f>
        <v>=AI("The city that the University in the row beside resides in")</v>
      </c>
      <c r="D264" t="b">
        <v>0</v>
      </c>
      <c r="E264" t="b">
        <v>0</v>
      </c>
      <c r="G264" t="b">
        <v>0</v>
      </c>
      <c r="H264" t="b">
        <v>0</v>
      </c>
    </row>
    <row r="265">
      <c r="C265" t="str">
        <f>IFERROR(__xludf.DUMMYFUNCTION("AI(""The city that the University in the row beside resides in"")"),"I do not have enough information to answer the query. I am missing the university name for this row to determine its city.")</f>
        <v>I do not have enough information to answer the query. I am missing the university name for this row to determine its city.</v>
      </c>
      <c r="D265" t="b">
        <v>0</v>
      </c>
      <c r="E265" t="b">
        <v>0</v>
      </c>
      <c r="G265" t="b">
        <v>0</v>
      </c>
      <c r="H265" t="b">
        <v>0</v>
      </c>
    </row>
    <row r="266">
      <c r="C266" t="str">
        <f>IFERROR(__xludf.DUMMYFUNCTION("AI(""The city that the University in the row beside resides in"")"),"I do not have enough information to answer the query. I am missing the university name for this row to determine the city it resides in.")</f>
        <v>I do not have enough information to answer the query. I am missing the university name for this row to determine the city it resides in.</v>
      </c>
      <c r="D266" t="b">
        <v>0</v>
      </c>
      <c r="E266" t="b">
        <v>0</v>
      </c>
      <c r="G266" t="b">
        <v>0</v>
      </c>
      <c r="H266" t="b">
        <v>0</v>
      </c>
    </row>
    <row r="267">
      <c r="C267" t="str">
        <f>IFERROR(__xludf.DUMMYFUNCTION("AI(""The city that the University in the row beside resides in"")"),"I do not have enough information to answer the query. I am missing the university name for this row to determine the city it resides in.")</f>
        <v>I do not have enough information to answer the query. I am missing the university name for this row to determine the city it resides in.</v>
      </c>
      <c r="D267" t="b">
        <v>0</v>
      </c>
      <c r="E267" t="b">
        <v>0</v>
      </c>
      <c r="G267" t="b">
        <v>0</v>
      </c>
      <c r="H267" t="b">
        <v>0</v>
      </c>
    </row>
    <row r="268">
      <c r="C268" t="str">
        <f>IFERROR(__xludf.DUMMYFUNCTION("AI(""The city that the University in the row beside resides in"")"),"=AI(""The city that the University in the row beside resides in"")")</f>
        <v>=AI("The city that the University in the row beside resides in")</v>
      </c>
      <c r="D268" t="b">
        <v>0</v>
      </c>
      <c r="E268" t="b">
        <v>0</v>
      </c>
      <c r="G268" t="b">
        <v>0</v>
      </c>
      <c r="H268" t="b">
        <v>0</v>
      </c>
    </row>
    <row r="269">
      <c r="C269" t="str">
        <f>IFERROR(__xludf.DUMMYFUNCTION("AI(""The city that the University in the row beside resides in"")"),"I do not have enough information to answer the query. I am missing the university name in the row beside to determine the city it resides in.")</f>
        <v>I do not have enough information to answer the query. I am missing the university name in the row beside to determine the city it resides in.</v>
      </c>
      <c r="D269" t="b">
        <v>0</v>
      </c>
      <c r="E269" t="b">
        <v>0</v>
      </c>
      <c r="G269" t="b">
        <v>0</v>
      </c>
      <c r="H269" t="b">
        <v>0</v>
      </c>
    </row>
    <row r="270">
      <c r="C270" t="str">
        <f>IFERROR(__xludf.DUMMYFUNCTION("AI(""The city that the University in the row beside resides in"")"),"I do not have enough information to answer the query. I am missing the university name from column B for this row to determine the city.")</f>
        <v>I do not have enough information to answer the query. I am missing the university name from column B for this row to determine the city.</v>
      </c>
      <c r="D270" t="b">
        <v>0</v>
      </c>
      <c r="E270" t="b">
        <v>0</v>
      </c>
      <c r="G270" t="b">
        <v>0</v>
      </c>
      <c r="H270" t="b">
        <v>0</v>
      </c>
    </row>
    <row r="271">
      <c r="C271" t="str">
        <f>IFERROR(__xludf.DUMMYFUNCTION("AI(""The city that the University in the row beside resides in"")"),"I do not have enough information to answer the query. I am missing the name of the university in column B for this row to determine the city it resides in.")</f>
        <v>I do not have enough information to answer the query. I am missing the name of the university in column B for this row to determine the city it resides in.</v>
      </c>
      <c r="D271" t="b">
        <v>0</v>
      </c>
      <c r="E271" t="b">
        <v>0</v>
      </c>
      <c r="G271" t="b">
        <v>0</v>
      </c>
      <c r="H271" t="b">
        <v>0</v>
      </c>
    </row>
    <row r="272">
      <c r="C272" t="str">
        <f>IFERROR(__xludf.DUMMYFUNCTION("AI(""The city that the University in the row beside resides in"")"),"I do not have enough information to determine the city because the university name for this row is missing from the provided context.")</f>
        <v>I do not have enough information to determine the city because the university name for this row is missing from the provided context.</v>
      </c>
      <c r="D272" t="b">
        <v>0</v>
      </c>
      <c r="E272" t="b">
        <v>0</v>
      </c>
      <c r="G272" t="b">
        <v>0</v>
      </c>
      <c r="H272" t="b">
        <v>0</v>
      </c>
    </row>
    <row r="273">
      <c r="C273" t="str">
        <f>IFERROR(__xludf.DUMMYFUNCTION("AI(""The city that the University in the row beside resides in"")"),"I do not have enough information to answer the query. I am missing the university name in row 273 to determine the city it resides in.")</f>
        <v>I do not have enough information to answer the query. I am missing the university name in row 273 to determine the city it resides in.</v>
      </c>
      <c r="D273" t="b">
        <v>0</v>
      </c>
      <c r="E273" t="b">
        <v>0</v>
      </c>
      <c r="G273" t="b">
        <v>0</v>
      </c>
      <c r="H273" t="b">
        <v>0</v>
      </c>
    </row>
    <row r="274">
      <c r="C274" t="str">
        <f>IFERROR(__xludf.DUMMYFUNCTION("AI(""The city that the University in the row beside resides in"")"),"I do not have enough information to answer the query. I am missing the university name for row 274 to determine its city.")</f>
        <v>I do not have enough information to answer the query. I am missing the university name for row 274 to determine its city.</v>
      </c>
      <c r="D274" t="b">
        <v>0</v>
      </c>
      <c r="E274" t="b">
        <v>0</v>
      </c>
      <c r="G274" t="b">
        <v>0</v>
      </c>
      <c r="H274" t="b">
        <v>0</v>
      </c>
    </row>
    <row r="275">
      <c r="C275" t="str">
        <f>IFERROR(__xludf.DUMMYFUNCTION("AI(""The city that the University in the row beside resides in"")"),"I do not have enough information to answer the query. The name of the university for this row is missing from the provided document context.")</f>
        <v>I do not have enough information to answer the query. The name of the university for this row is missing from the provided document context.</v>
      </c>
      <c r="D275" t="b">
        <v>0</v>
      </c>
      <c r="E275" t="b">
        <v>0</v>
      </c>
      <c r="G275" t="b">
        <v>0</v>
      </c>
      <c r="H275" t="b">
        <v>0</v>
      </c>
    </row>
    <row r="276">
      <c r="C276" t="str">
        <f>IFERROR(__xludf.DUMMYFUNCTION("AI(""The city that the University in the row beside resides in"")"),"=AI(""The city that the University in the row beside resides in"")")</f>
        <v>=AI("The city that the University in the row beside resides in")</v>
      </c>
      <c r="D276" t="b">
        <v>0</v>
      </c>
      <c r="E276" t="b">
        <v>0</v>
      </c>
      <c r="G276" t="b">
        <v>0</v>
      </c>
      <c r="H276" t="b">
        <v>0</v>
      </c>
    </row>
    <row r="277">
      <c r="C277" t="str">
        <f>IFERROR(__xludf.DUMMYFUNCTION("AI(""The city that the University in the row beside resides in"")"),"=AI(""The city that the University in the row beside resides in"")")</f>
        <v>=AI("The city that the University in the row beside resides in")</v>
      </c>
      <c r="D277" t="b">
        <v>0</v>
      </c>
      <c r="E277" t="b">
        <v>0</v>
      </c>
      <c r="G277" t="b">
        <v>0</v>
      </c>
      <c r="H277" t="b">
        <v>0</v>
      </c>
    </row>
    <row r="278">
      <c r="C278" t="str">
        <f>IFERROR(__xludf.DUMMYFUNCTION("AI(""The city that the University in the row beside resides in"")"),"I do not have enough information to answer the query. I am missing the name of the university for row 278 to determine its city.")</f>
        <v>I do not have enough information to answer the query. I am missing the name of the university for row 278 to determine its city.</v>
      </c>
      <c r="D278" t="b">
        <v>0</v>
      </c>
      <c r="E278" t="b">
        <v>0</v>
      </c>
      <c r="G278" t="b">
        <v>0</v>
      </c>
      <c r="H278" t="b">
        <v>0</v>
      </c>
    </row>
    <row r="279">
      <c r="C279" t="str">
        <f>IFERROR(__xludf.DUMMYFUNCTION("AI(""The city that the University in the row beside resides in"")"),"I do not have enough information to answer the query. I am missing the university name for this row (column B) to determine the city it resides in.")</f>
        <v>I do not have enough information to answer the query. I am missing the university name for this row (column B) to determine the city it resides in.</v>
      </c>
      <c r="D279" t="b">
        <v>0</v>
      </c>
      <c r="E279" t="b">
        <v>0</v>
      </c>
      <c r="G279" t="b">
        <v>0</v>
      </c>
      <c r="H279" t="b">
        <v>0</v>
      </c>
    </row>
    <row r="280">
      <c r="C280" t="str">
        <f>IFERROR(__xludf.DUMMYFUNCTION("AI(""The city that the University in the row beside resides in"")"),"I do not have enough information to answer the query. I am missing the university name for this row to determine the city it resides in.")</f>
        <v>I do not have enough information to answer the query. I am missing the university name for this row to determine the city it resides in.</v>
      </c>
      <c r="D280" t="b">
        <v>0</v>
      </c>
      <c r="E280" t="b">
        <v>0</v>
      </c>
      <c r="G280" t="b">
        <v>0</v>
      </c>
      <c r="H280" t="b">
        <v>0</v>
      </c>
    </row>
    <row r="281">
      <c r="C281" t="str">
        <f>IFERROR(__xludf.DUMMYFUNCTION("AI(""The city that the University in the row beside resides in"")"),"I do not have enough information to answer the query. I am missing the university name for this row to determine the city it resides in.")</f>
        <v>I do not have enough information to answer the query. I am missing the university name for this row to determine the city it resides in.</v>
      </c>
      <c r="D281" t="b">
        <v>0</v>
      </c>
      <c r="E281" t="b">
        <v>0</v>
      </c>
      <c r="G281" t="b">
        <v>0</v>
      </c>
      <c r="H281" t="b">
        <v>0</v>
      </c>
    </row>
    <row r="282">
      <c r="C282" t="str">
        <f>IFERROR(__xludf.DUMMYFUNCTION("AI(""The city that the University in the row beside resides in"")"),"I do not have enough information to answer the query. I am missing the university name for row 282 to determine its city.")</f>
        <v>I do not have enough information to answer the query. I am missing the university name for row 282 to determine its city.</v>
      </c>
      <c r="D282" t="b">
        <v>0</v>
      </c>
      <c r="E282" t="b">
        <v>0</v>
      </c>
      <c r="G282" t="b">
        <v>0</v>
      </c>
      <c r="H282" t="b">
        <v>0</v>
      </c>
    </row>
    <row r="283">
      <c r="C283" t="str">
        <f>IFERROR(__xludf.DUMMYFUNCTION("AI(""The city that the University in the row beside resides in"")"),"I do not have enough information to determine the city because the university name in the row beside it (Column B) is missing from the provided context. Please include the university name to get the correct city.")</f>
        <v>I do not have enough information to determine the city because the university name in the row beside it (Column B) is missing from the provided context. Please include the university name to get the correct city.</v>
      </c>
      <c r="D283" t="b">
        <v>0</v>
      </c>
      <c r="E283" t="b">
        <v>0</v>
      </c>
      <c r="G283" t="b">
        <v>0</v>
      </c>
      <c r="H283" t="b">
        <v>0</v>
      </c>
    </row>
    <row r="284">
      <c r="C284" t="str">
        <f>IFERROR(__xludf.DUMMYFUNCTION("AI(""The city that the University in the row beside resides in"")"),"I do not have enough information to answer the query because the university name in row 284 is missing from the provided context.")</f>
        <v>I do not have enough information to answer the query because the university name in row 284 is missing from the provided context.</v>
      </c>
      <c r="D284" t="b">
        <v>0</v>
      </c>
      <c r="E284" t="b">
        <v>0</v>
      </c>
      <c r="G284" t="b">
        <v>0</v>
      </c>
      <c r="H284" t="b">
        <v>0</v>
      </c>
    </row>
    <row r="285">
      <c r="C285" t="str">
        <f>IFERROR(__xludf.DUMMYFUNCTION("AI(""The city that the University in the row beside resides in"")"),"I do not have enough information to answer the query. I am missing the university name for this row (column B) to determine the city it resides in.")</f>
        <v>I do not have enough information to answer the query. I am missing the university name for this row (column B) to determine the city it resides in.</v>
      </c>
      <c r="D285" t="b">
        <v>0</v>
      </c>
      <c r="E285" t="b">
        <v>0</v>
      </c>
      <c r="G285" t="b">
        <v>0</v>
      </c>
      <c r="H285" t="b">
        <v>0</v>
      </c>
    </row>
    <row r="286">
      <c r="C286" t="str">
        <f>IFERROR(__xludf.DUMMYFUNCTION("AI(""The city that the University in the row beside resides in"")"),"=AI(""The city that the University in the row beside resides in"")")</f>
        <v>=AI("The city that the University in the row beside resides in")</v>
      </c>
      <c r="D286" t="b">
        <v>0</v>
      </c>
      <c r="E286" t="b">
        <v>0</v>
      </c>
      <c r="G286" t="b">
        <v>0</v>
      </c>
      <c r="H286" t="b">
        <v>0</v>
      </c>
    </row>
    <row r="287">
      <c r="C287" t="str">
        <f>IFERROR(__xludf.DUMMYFUNCTION("AI(""The city that the University in the row beside resides in"")"),"=AI(""The city that the University in the row beside resides in"")")</f>
        <v>=AI("The city that the University in the row beside resides in")</v>
      </c>
      <c r="D287" t="b">
        <v>0</v>
      </c>
      <c r="E287" t="b">
        <v>0</v>
      </c>
      <c r="G287" t="b">
        <v>0</v>
      </c>
      <c r="H287" t="b">
        <v>0</v>
      </c>
    </row>
    <row r="288">
      <c r="C288" t="str">
        <f>IFERROR(__xludf.DUMMYFUNCTION("AI(""The city that the University in the row beside resides in"")"),"I do not have enough information to answer the query because the university name for row 288 is missing from the provided context.")</f>
        <v>I do not have enough information to answer the query because the university name for row 288 is missing from the provided context.</v>
      </c>
      <c r="D288" t="b">
        <v>0</v>
      </c>
      <c r="E288" t="b">
        <v>0</v>
      </c>
      <c r="G288" t="b">
        <v>0</v>
      </c>
      <c r="H288" t="b">
        <v>0</v>
      </c>
    </row>
    <row r="289">
      <c r="C289" t="str">
        <f>IFERROR(__xludf.DUMMYFUNCTION("AI(""The city that the University in the row beside resides in"")"),"I do not have enough information to answer the query. I am missing the university name for this row to determine the city it resides in.")</f>
        <v>I do not have enough information to answer the query. I am missing the university name for this row to determine the city it resides in.</v>
      </c>
      <c r="D289" t="b">
        <v>0</v>
      </c>
      <c r="E289" t="b">
        <v>0</v>
      </c>
      <c r="G289" t="b">
        <v>0</v>
      </c>
      <c r="H289" t="b">
        <v>0</v>
      </c>
    </row>
    <row r="290">
      <c r="C290" t="str">
        <f>IFERROR(__xludf.DUMMYFUNCTION("AI(""The city that the University in the row beside resides in"")"),"I do not have enough information to answer the query. I am missing the university name for this row to determine its city.")</f>
        <v>I do not have enough information to answer the query. I am missing the university name for this row to determine its city.</v>
      </c>
      <c r="D290" t="b">
        <v>0</v>
      </c>
      <c r="E290" t="b">
        <v>0</v>
      </c>
      <c r="G290" t="b">
        <v>0</v>
      </c>
      <c r="H290" t="b">
        <v>0</v>
      </c>
    </row>
    <row r="291">
      <c r="C291" t="str">
        <f>IFERROR(__xludf.DUMMYFUNCTION("AI(""The city that the University in the row beside resides in"")"),"=AI(""The city that the University in the row beside resides in"")")</f>
        <v>=AI("The city that the University in the row beside resides in")</v>
      </c>
      <c r="D291" t="b">
        <v>0</v>
      </c>
      <c r="E291" t="b">
        <v>0</v>
      </c>
      <c r="G291" t="b">
        <v>0</v>
      </c>
      <c r="H291" t="b">
        <v>0</v>
      </c>
    </row>
    <row r="292">
      <c r="C292" t="str">
        <f>IFERROR(__xludf.DUMMYFUNCTION("AI(""The city that the University in the row beside resides in"")"),"I do not have enough information to answer the query. I am missing the university name for this row to determine the city.")</f>
        <v>I do not have enough information to answer the query. I am missing the university name for this row to determine the city.</v>
      </c>
      <c r="D292" t="b">
        <v>0</v>
      </c>
      <c r="E292" t="b">
        <v>0</v>
      </c>
      <c r="G292" t="b">
        <v>0</v>
      </c>
      <c r="H292" t="b">
        <v>0</v>
      </c>
    </row>
    <row r="293">
      <c r="C293" t="str">
        <f>IFERROR(__xludf.DUMMYFUNCTION("AI(""The city that the University in the row beside resides in"")"),"I do not have enough information to answer this query. I am missing the university name in column B for this row to determine which city it resides in.")</f>
        <v>I do not have enough information to answer this query. I am missing the university name in column B for this row to determine which city it resides in.</v>
      </c>
      <c r="D293" t="b">
        <v>0</v>
      </c>
      <c r="E293" t="b">
        <v>0</v>
      </c>
      <c r="G293" t="b">
        <v>0</v>
      </c>
      <c r="H293" t="b">
        <v>0</v>
      </c>
    </row>
    <row r="294">
      <c r="C294" t="str">
        <f>IFERROR(__xludf.DUMMYFUNCTION("AI(""The city that the University in the row beside resides in"")"),"I do not have enough information to answer the query. I am missing the university name for row 294 to determine the city it resides in.")</f>
        <v>I do not have enough information to answer the query. I am missing the university name for row 294 to determine the city it resides in.</v>
      </c>
      <c r="D294" t="b">
        <v>0</v>
      </c>
      <c r="E294" t="b">
        <v>0</v>
      </c>
      <c r="G294" t="b">
        <v>0</v>
      </c>
      <c r="H294" t="b">
        <v>0</v>
      </c>
    </row>
    <row r="295">
      <c r="C295" t="str">
        <f>IFERROR(__xludf.DUMMYFUNCTION("AI(""The city that the University in the row beside resides in"")"),"I do not have enough information to answer the query because the university name for this row is missing from the provided spreadsheet context.")</f>
        <v>I do not have enough information to answer the query because the university name for this row is missing from the provided spreadsheet context.</v>
      </c>
      <c r="D295" t="b">
        <v>0</v>
      </c>
      <c r="E295" t="b">
        <v>0</v>
      </c>
      <c r="G295" t="b">
        <v>0</v>
      </c>
      <c r="H295" t="b">
        <v>0</v>
      </c>
    </row>
    <row r="296">
      <c r="C296" t="str">
        <f>IFERROR(__xludf.DUMMYFUNCTION("AI(""The city that the University in the row beside resides in"")"),"I do not have enough information to answer the query. I am missing the name of the university in row 296 (cell B296) to determine the city it resides in.")</f>
        <v>I do not have enough information to answer the query. I am missing the name of the university in row 296 (cell B296) to determine the city it resides in.</v>
      </c>
      <c r="D296" t="b">
        <v>0</v>
      </c>
      <c r="E296" t="b">
        <v>0</v>
      </c>
      <c r="G296" t="b">
        <v>0</v>
      </c>
      <c r="H296" t="b">
        <v>0</v>
      </c>
    </row>
    <row r="297">
      <c r="C297" t="str">
        <f>IFERROR(__xludf.DUMMYFUNCTION("AI(""The city that the University in the row beside resides in"")"),"I do not have enough information to answer the query. I am missing the university name for row 297 (column B) to determine its city.")</f>
        <v>I do not have enough information to answer the query. I am missing the university name for row 297 (column B) to determine its city.</v>
      </c>
      <c r="D297" t="b">
        <v>0</v>
      </c>
      <c r="E297" t="b">
        <v>0</v>
      </c>
      <c r="G297" t="b">
        <v>0</v>
      </c>
      <c r="H297" t="b">
        <v>0</v>
      </c>
    </row>
    <row r="298">
      <c r="C298" t="str">
        <f>IFERROR(__xludf.DUMMYFUNCTION("AI(""The city that the University in the row beside resides in"")"),"=AI(""The city that the University in the row beside resides in"")")</f>
        <v>=AI("The city that the University in the row beside resides in")</v>
      </c>
      <c r="D298" t="b">
        <v>0</v>
      </c>
      <c r="E298" t="b">
        <v>0</v>
      </c>
      <c r="G298" t="b">
        <v>0</v>
      </c>
      <c r="H298" t="b">
        <v>0</v>
      </c>
    </row>
    <row r="299">
      <c r="C299" t="str">
        <f>IFERROR(__xludf.DUMMYFUNCTION("AI(""The city that the University in the row beside resides in"")"),"I do not have enough information to answer the query. I am missing the university name for this row to determine the city it resides in.")</f>
        <v>I do not have enough information to answer the query. I am missing the university name for this row to determine the city it resides in.</v>
      </c>
      <c r="D299" t="b">
        <v>0</v>
      </c>
      <c r="E299" t="b">
        <v>0</v>
      </c>
      <c r="G299" t="b">
        <v>0</v>
      </c>
      <c r="H299" t="b">
        <v>0</v>
      </c>
    </row>
    <row r="300">
      <c r="C300" t="str">
        <f>IFERROR(__xludf.DUMMYFUNCTION("AI(""The city that the University in the row beside resides in"")"),"=AI(""The city that the University in the row beside resides in"")")</f>
        <v>=AI("The city that the University in the row beside resides in")</v>
      </c>
      <c r="D300" t="b">
        <v>0</v>
      </c>
      <c r="E300" t="b">
        <v>0</v>
      </c>
      <c r="G300" t="b">
        <v>0</v>
      </c>
      <c r="H300" t="b">
        <v>0</v>
      </c>
    </row>
    <row r="301">
      <c r="C301" t="str">
        <f>IFERROR(__xludf.DUMMYFUNCTION("AI(""The city that the University in the row beside resides in"")"),"I do not have enough information to answer the query. I am missing the university name for this row to determine its city.")</f>
        <v>I do not have enough information to answer the query. I am missing the university name for this row to determine its city.</v>
      </c>
      <c r="D301" t="b">
        <v>0</v>
      </c>
      <c r="E301" t="b">
        <v>0</v>
      </c>
      <c r="G301" t="b">
        <v>0</v>
      </c>
      <c r="H301" t="b">
        <v>0</v>
      </c>
    </row>
    <row r="302">
      <c r="C302" t="str">
        <f>IFERROR(__xludf.DUMMYFUNCTION("AI(""The city that the University in the row beside resides in"")"),"I do not have enough information to answer the query. I am missing the university name for this row to determine the city it resides in.")</f>
        <v>I do not have enough information to answer the query. I am missing the university name for this row to determine the city it resides in.</v>
      </c>
      <c r="D302" t="b">
        <v>0</v>
      </c>
      <c r="E302" t="b">
        <v>0</v>
      </c>
      <c r="G302" t="b">
        <v>0</v>
      </c>
      <c r="H302" t="b">
        <v>0</v>
      </c>
    </row>
    <row r="303">
      <c r="C303" t="str">
        <f>IFERROR(__xludf.DUMMYFUNCTION("AI(""The city that the University in the row beside resides in"")"),"I do not have enough information to determine the city because the university name for this row is not visible in the provided context.")</f>
        <v>I do not have enough information to determine the city because the university name for this row is not visible in the provided context.</v>
      </c>
      <c r="D303" t="b">
        <v>0</v>
      </c>
      <c r="E303" t="b">
        <v>0</v>
      </c>
      <c r="G303" t="b">
        <v>0</v>
      </c>
      <c r="H303" t="b">
        <v>0</v>
      </c>
    </row>
    <row r="304">
      <c r="C304" t="str">
        <f>IFERROR(__xludf.DUMMYFUNCTION("AI(""The city that the University in the row beside resides in"")"),"=AI(""The city that the University in the row beside resides in"")")</f>
        <v>=AI("The city that the University in the row beside resides in")</v>
      </c>
      <c r="D304" t="b">
        <v>0</v>
      </c>
      <c r="E304" t="b">
        <v>0</v>
      </c>
      <c r="G304" t="b">
        <v>0</v>
      </c>
      <c r="H304" t="b">
        <v>0</v>
      </c>
    </row>
    <row r="305">
      <c r="C305" t="str">
        <f>IFERROR(__xludf.DUMMYFUNCTION("AI(""The city that the University in the row beside resides in"")"),"=AI(""The city that the University in the row beside resides in"")")</f>
        <v>=AI("The city that the University in the row beside resides in")</v>
      </c>
      <c r="D305" t="b">
        <v>0</v>
      </c>
      <c r="E305" t="b">
        <v>0</v>
      </c>
      <c r="G305" t="b">
        <v>0</v>
      </c>
      <c r="H305" t="b">
        <v>0</v>
      </c>
    </row>
    <row r="306">
      <c r="C306" t="str">
        <f>IFERROR(__xludf.DUMMYFUNCTION("AI(""The city that the University in the row beside resides in"")"),"I do not have enough information to answer the query. I am missing the name of the university in row 306 to determine its city.")</f>
        <v>I do not have enough information to answer the query. I am missing the name of the university in row 306 to determine its city.</v>
      </c>
      <c r="D306" t="b">
        <v>0</v>
      </c>
      <c r="E306" t="b">
        <v>0</v>
      </c>
      <c r="G306" t="b">
        <v>0</v>
      </c>
      <c r="H306" t="b">
        <v>0</v>
      </c>
    </row>
    <row r="307">
      <c r="C307" t="str">
        <f>IFERROR(__xludf.DUMMYFUNCTION("AI(""The city that the University in the row beside resides in"")"),"I do not have enough information to answer the query. The university name in column B for this row is missing from the provided context.")</f>
        <v>I do not have enough information to answer the query. The university name in column B for this row is missing from the provided context.</v>
      </c>
      <c r="D307" t="b">
        <v>0</v>
      </c>
      <c r="E307" t="b">
        <v>0</v>
      </c>
      <c r="G307" t="b">
        <v>0</v>
      </c>
      <c r="H307" t="b">
        <v>0</v>
      </c>
    </row>
    <row r="308">
      <c r="C308" t="str">
        <f>IFERROR(__xludf.DUMMYFUNCTION("AI(""The city that the University in the row beside resides in"")"),"I do not have enough information to determine the city because the university name in row 308 is missing from the provided context. Please ensure the university name column is included.")</f>
        <v>I do not have enough information to determine the city because the university name in row 308 is missing from the provided context. Please ensure the university name column is included.</v>
      </c>
      <c r="D308" t="b">
        <v>0</v>
      </c>
      <c r="E308" t="b">
        <v>0</v>
      </c>
      <c r="G308" t="b">
        <v>0</v>
      </c>
      <c r="H308" t="b">
        <v>0</v>
      </c>
    </row>
    <row r="309">
      <c r="C309" t="str">
        <f>IFERROR(__xludf.DUMMYFUNCTION("AI(""The city that the University in the row beside resides in"")"),"=AI(""The city that the University in the row beside resides in"")")</f>
        <v>=AI("The city that the University in the row beside resides in")</v>
      </c>
      <c r="D309" t="b">
        <v>0</v>
      </c>
      <c r="E309" t="b">
        <v>0</v>
      </c>
      <c r="G309" t="b">
        <v>0</v>
      </c>
      <c r="H309" t="b">
        <v>0</v>
      </c>
    </row>
    <row r="310">
      <c r="C310" t="str">
        <f>IFERROR(__xludf.DUMMYFUNCTION("AI(""The city that the University in the row beside resides in"")"),"I do not have enough information to answer the query. I am missing the university name for this row to determine its city.")</f>
        <v>I do not have enough information to answer the query. I am missing the university name for this row to determine its city.</v>
      </c>
      <c r="D310" t="b">
        <v>0</v>
      </c>
      <c r="E310" t="b">
        <v>0</v>
      </c>
      <c r="G310" t="b">
        <v>0</v>
      </c>
      <c r="H310" t="b">
        <v>0</v>
      </c>
    </row>
    <row r="311">
      <c r="C311" t="str">
        <f>IFERROR(__xludf.DUMMYFUNCTION("AI(""The city that the University in the row beside resides in"")"),"I do not have enough information to answer the query. I am missing the university name for this row to determine the city.")</f>
        <v>I do not have enough information to answer the query. I am missing the university name for this row to determine the city.</v>
      </c>
      <c r="D311" t="b">
        <v>0</v>
      </c>
      <c r="E311" t="b">
        <v>0</v>
      </c>
      <c r="G311" t="b">
        <v>0</v>
      </c>
      <c r="H311" t="b">
        <v>0</v>
      </c>
    </row>
    <row r="312">
      <c r="C312" t="str">
        <f>IFERROR(__xludf.DUMMYFUNCTION("AI(""The city that the University in the row beside resides in"")"),"I do not have enough information to answer the query because the university name in the row beside is missing from the provided context. Please provide the university name to find its city.")</f>
        <v>I do not have enough information to answer the query because the university name in the row beside is missing from the provided context. Please provide the university name to find its city.</v>
      </c>
      <c r="D312" t="b">
        <v>0</v>
      </c>
      <c r="E312" t="b">
        <v>0</v>
      </c>
      <c r="G312" t="b">
        <v>0</v>
      </c>
      <c r="H312" t="b">
        <v>0</v>
      </c>
    </row>
    <row r="313">
      <c r="C313" t="str">
        <f>IFERROR(__xludf.DUMMYFUNCTION("AI(""The city that the University in the row beside resides in"")"),"I do not have enough information to determine the city because the university name for this row is missing from the provided context. Please provide the university name.")</f>
        <v>I do not have enough information to determine the city because the university name for this row is missing from the provided context. Please provide the university name.</v>
      </c>
      <c r="D313" t="b">
        <v>0</v>
      </c>
      <c r="E313" t="b">
        <v>0</v>
      </c>
      <c r="G313" t="b">
        <v>0</v>
      </c>
      <c r="H313" t="b">
        <v>0</v>
      </c>
    </row>
    <row r="314">
      <c r="C314" t="str">
        <f>IFERROR(__xludf.DUMMYFUNCTION("AI(""The city that the University in the row beside resides in"")"),"I do not have enough information to answer the query. I am missing the university name for this row to determine its city.")</f>
        <v>I do not have enough information to answer the query. I am missing the university name for this row to determine its city.</v>
      </c>
      <c r="D314" t="b">
        <v>0</v>
      </c>
      <c r="E314" t="b">
        <v>0</v>
      </c>
      <c r="G314" t="b">
        <v>0</v>
      </c>
      <c r="H314" t="b">
        <v>0</v>
      </c>
    </row>
    <row r="315">
      <c r="C315" t="str">
        <f>IFERROR(__xludf.DUMMYFUNCTION("AI(""The city that the University in the row beside resides in"")"),"I do not have enough information to answer the query, as the university name for this row is not visible in the provided context.")</f>
        <v>I do not have enough information to answer the query, as the university name for this row is not visible in the provided context.</v>
      </c>
      <c r="D315" t="b">
        <v>0</v>
      </c>
      <c r="E315" t="b">
        <v>0</v>
      </c>
      <c r="G315" t="b">
        <v>0</v>
      </c>
      <c r="H315" t="b">
        <v>0</v>
      </c>
    </row>
    <row r="316">
      <c r="C316" t="str">
        <f>IFERROR(__xludf.DUMMYFUNCTION("AI(""The city that the University in the row beside resides in"")"),"I do not have enough information to answer the query. I am missing the university name for this row to determine the city it resides in.")</f>
        <v>I do not have enough information to answer the query. I am missing the university name for this row to determine the city it resides in.</v>
      </c>
      <c r="D316" t="b">
        <v>0</v>
      </c>
      <c r="E316" t="b">
        <v>0</v>
      </c>
      <c r="G316" t="b">
        <v>0</v>
      </c>
      <c r="H316" t="b">
        <v>0</v>
      </c>
    </row>
    <row r="317">
      <c r="C317" t="str">
        <f>IFERROR(__xludf.DUMMYFUNCTION("AI(""The city that the University in the row beside resides in"")"),"I do not have enough information to answer the query. I am missing the university name in row 317 to determine its city.")</f>
        <v>I do not have enough information to answer the query. I am missing the university name in row 317 to determine its city.</v>
      </c>
      <c r="D317" t="b">
        <v>0</v>
      </c>
      <c r="E317" t="b">
        <v>0</v>
      </c>
      <c r="G317" t="b">
        <v>0</v>
      </c>
      <c r="H317" t="b">
        <v>0</v>
      </c>
    </row>
    <row r="318">
      <c r="C318" t="str">
        <f>IFERROR(__xludf.DUMMYFUNCTION("AI(""The city that the University in the row beside resides in"")"),"=AI(""The city that the University in the row beside resides in"")")</f>
        <v>=AI("The city that the University in the row beside resides in")</v>
      </c>
      <c r="D318" t="b">
        <v>0</v>
      </c>
      <c r="E318" t="b">
        <v>0</v>
      </c>
      <c r="G318" t="b">
        <v>0</v>
      </c>
      <c r="H318" t="b">
        <v>0</v>
      </c>
    </row>
    <row r="319">
      <c r="C319" t="str">
        <f>IFERROR(__xludf.DUMMYFUNCTION("AI(""The city that the University in the row beside resides in"")"),"I do not have enough information to answer the query. The university name in column B for this row is missing from the provided context, so I cannot determine its city.")</f>
        <v>I do not have enough information to answer the query. The university name in column B for this row is missing from the provided context, so I cannot determine its city.</v>
      </c>
      <c r="D319" t="b">
        <v>0</v>
      </c>
      <c r="E319" t="b">
        <v>0</v>
      </c>
      <c r="G319" t="b">
        <v>0</v>
      </c>
      <c r="H319" t="b">
        <v>0</v>
      </c>
    </row>
    <row r="320">
      <c r="C320" t="str">
        <f>IFERROR(__xludf.DUMMYFUNCTION("AI(""The city that the University in the row beside resides in"")"),"I do not have enough information to answer the query. I am missing the university name for this row to determine the city it resides in.")</f>
        <v>I do not have enough information to answer the query. I am missing the university name for this row to determine the city it resides in.</v>
      </c>
      <c r="D320" t="b">
        <v>0</v>
      </c>
      <c r="E320" t="b">
        <v>0</v>
      </c>
      <c r="G320" t="b">
        <v>0</v>
      </c>
      <c r="H320" t="b">
        <v>0</v>
      </c>
    </row>
    <row r="321">
      <c r="C321" t="str">
        <f>IFERROR(__xludf.DUMMYFUNCTION("AI(""The city that the University in the row beside resides in"")"),"=AI(""The city that the University in the row beside resides in"")")</f>
        <v>=AI("The city that the University in the row beside resides in")</v>
      </c>
      <c r="D321" t="b">
        <v>0</v>
      </c>
      <c r="E321" t="b">
        <v>0</v>
      </c>
      <c r="G321" t="b">
        <v>0</v>
      </c>
      <c r="H321" t="b">
        <v>0</v>
      </c>
    </row>
    <row r="322">
      <c r="C322" t="str">
        <f>IFERROR(__xludf.DUMMYFUNCTION("AI(""The city that the University in the row beside resides in"")"),"I do not have enough information to answer the query. I am missing the university name for this row to determine its city.")</f>
        <v>I do not have enough information to answer the query. I am missing the university name for this row to determine its city.</v>
      </c>
      <c r="D322" t="b">
        <v>0</v>
      </c>
      <c r="E322" t="b">
        <v>0</v>
      </c>
      <c r="G322" t="b">
        <v>0</v>
      </c>
      <c r="H322" t="b">
        <v>0</v>
      </c>
    </row>
    <row r="323">
      <c r="C323" t="str">
        <f>IFERROR(__xludf.DUMMYFUNCTION("AI(""The city that the University in the row beside resides in"")"),"I do not have enough information to answer the query. I am missing the university name for this row to determine the city it resides in.")</f>
        <v>I do not have enough information to answer the query. I am missing the university name for this row to determine the city it resides in.</v>
      </c>
      <c r="D323" t="b">
        <v>0</v>
      </c>
      <c r="E323" t="b">
        <v>0</v>
      </c>
      <c r="G323" t="b">
        <v>0</v>
      </c>
      <c r="H323" t="b">
        <v>0</v>
      </c>
    </row>
    <row r="324">
      <c r="C324" t="str">
        <f>IFERROR(__xludf.DUMMYFUNCTION("AI(""The city that the University in the row beside resides in"")"),"I do not have enough information to answer the query because the university name for this row is missing.")</f>
        <v>I do not have enough information to answer the query because the university name for this row is missing.</v>
      </c>
      <c r="D324" t="b">
        <v>0</v>
      </c>
      <c r="E324" t="b">
        <v>0</v>
      </c>
      <c r="G324" t="b">
        <v>0</v>
      </c>
      <c r="H324" t="b">
        <v>0</v>
      </c>
    </row>
    <row r="325">
      <c r="C325" t="str">
        <f>IFERROR(__xludf.DUMMYFUNCTION("AI(""The city that the University in the row beside resides in"")"),"I do not have enough information to answer this query. The name of the university for this row is missing from the provided context. Please ensure the university column is populated or included in your selection.")</f>
        <v>I do not have enough information to answer this query. The name of the university for this row is missing from the provided context. Please ensure the university column is populated or included in your selection.</v>
      </c>
      <c r="D325" t="b">
        <v>0</v>
      </c>
      <c r="E325" t="b">
        <v>0</v>
      </c>
      <c r="G325" t="b">
        <v>0</v>
      </c>
      <c r="H325" t="b">
        <v>0</v>
      </c>
    </row>
    <row r="326">
      <c r="C326" t="str">
        <f>IFERROR(__xludf.DUMMYFUNCTION("AI(""The city that the University in the row beside resides in"")"),"I do not have enough information to answer the query. I am missing the university name in column B for this row to determine the city.")</f>
        <v>I do not have enough information to answer the query. I am missing the university name in column B for this row to determine the city.</v>
      </c>
      <c r="D326" t="b">
        <v>0</v>
      </c>
      <c r="E326" t="b">
        <v>0</v>
      </c>
      <c r="G326" t="b">
        <v>0</v>
      </c>
      <c r="H326" t="b">
        <v>0</v>
      </c>
    </row>
    <row r="327">
      <c r="C327" t="str">
        <f>IFERROR(__xludf.DUMMYFUNCTION("AI(""The city that the University in the row beside resides in"")"),"=AI(""The city that the University in the row beside resides in"")")</f>
        <v>=AI("The city that the University in the row beside resides in")</v>
      </c>
      <c r="D327" t="b">
        <v>0</v>
      </c>
      <c r="E327" t="b">
        <v>0</v>
      </c>
      <c r="G327" t="b">
        <v>0</v>
      </c>
      <c r="H327" t="b">
        <v>0</v>
      </c>
    </row>
    <row r="328">
      <c r="C328" t="str">
        <f>IFERROR(__xludf.DUMMYFUNCTION("AI(""The city that the University in the row beside resides in"")"),"I do not have enough information to answer the query. I am missing the university name for row 328 to determine the city it resides in.")</f>
        <v>I do not have enough information to answer the query. I am missing the university name for row 328 to determine the city it resides in.</v>
      </c>
      <c r="D328" t="b">
        <v>0</v>
      </c>
      <c r="E328" t="b">
        <v>0</v>
      </c>
      <c r="G328" t="b">
        <v>0</v>
      </c>
      <c r="H328" t="b">
        <v>0</v>
      </c>
    </row>
    <row r="329">
      <c r="C329" t="str">
        <f>IFERROR(__xludf.DUMMYFUNCTION("AI(""The city that the University in the row beside resides in"")"),"I do not have enough information to answer the query. I am missing the university name in the row beside this cell to determine the city.")</f>
        <v>I do not have enough information to answer the query. I am missing the university name in the row beside this cell to determine the city.</v>
      </c>
      <c r="D329" t="b">
        <v>0</v>
      </c>
      <c r="E329" t="b">
        <v>0</v>
      </c>
      <c r="G329" t="b">
        <v>0</v>
      </c>
      <c r="H329" t="b">
        <v>0</v>
      </c>
    </row>
    <row r="330">
      <c r="C330" t="str">
        <f>IFERROR(__xludf.DUMMYFUNCTION("AI(""The city that the University in the row beside resides in"")"),"I do not have enough information to answer the query. I am missing the name of the university in row 330 to determine its city.")</f>
        <v>I do not have enough information to answer the query. I am missing the name of the university in row 330 to determine its city.</v>
      </c>
      <c r="D330" t="b">
        <v>0</v>
      </c>
      <c r="E330" t="b">
        <v>0</v>
      </c>
      <c r="G330" t="b">
        <v>0</v>
      </c>
      <c r="H330" t="b">
        <v>0</v>
      </c>
    </row>
    <row r="331">
      <c r="C331" t="str">
        <f>IFERROR(__xludf.DUMMYFUNCTION("AI(""The city that the University in the row beside resides in"")"),"=AI(""The city that the University in the row beside resides in"")")</f>
        <v>=AI("The city that the University in the row beside resides in")</v>
      </c>
      <c r="D331" t="b">
        <v>0</v>
      </c>
      <c r="E331" t="b">
        <v>0</v>
      </c>
      <c r="G331" t="b">
        <v>0</v>
      </c>
      <c r="H331" t="b">
        <v>0</v>
      </c>
    </row>
    <row r="332">
      <c r="C332" t="str">
        <f>IFERROR(__xludf.DUMMYFUNCTION("AI(""The city that the University in the row beside resides in"")"),"=AI(""The city that the University in the row beside resides in"")")</f>
        <v>=AI("The city that the University in the row beside resides in")</v>
      </c>
      <c r="D332" t="b">
        <v>0</v>
      </c>
      <c r="E332" t="b">
        <v>0</v>
      </c>
      <c r="G332" t="b">
        <v>0</v>
      </c>
      <c r="H332" t="b">
        <v>0</v>
      </c>
    </row>
    <row r="333">
      <c r="C333" t="str">
        <f>IFERROR(__xludf.DUMMYFUNCTION("AI(""The city that the University in the row beside resides in"")"),"I do not have enough information to answer the query. I am missing the name of the university in row 333 to determine the city it resides in.")</f>
        <v>I do not have enough information to answer the query. I am missing the name of the university in row 333 to determine the city it resides in.</v>
      </c>
      <c r="D333" t="b">
        <v>0</v>
      </c>
      <c r="E333" t="b">
        <v>0</v>
      </c>
      <c r="G333" t="b">
        <v>0</v>
      </c>
      <c r="H333" t="b">
        <v>0</v>
      </c>
    </row>
    <row r="334">
      <c r="C334" t="str">
        <f>IFERROR(__xludf.DUMMYFUNCTION("AI(""The city that the University in the row beside resides in"")"),"I do not have enough information to answer the query. I am missing the university name in row 334 (Column B) to determine the city it resides in.")</f>
        <v>I do not have enough information to answer the query. I am missing the university name in row 334 (Column B) to determine the city it resides in.</v>
      </c>
      <c r="D334" t="b">
        <v>0</v>
      </c>
      <c r="E334" t="b">
        <v>0</v>
      </c>
      <c r="G334" t="b">
        <v>0</v>
      </c>
      <c r="H334" t="b">
        <v>0</v>
      </c>
    </row>
    <row r="335">
      <c r="C335" t="str">
        <f>IFERROR(__xludf.DUMMYFUNCTION("AI(""The city that the University in the row beside resides in"")"),"=AI(""The city that the University in the row beside resides in"")")</f>
        <v>=AI("The city that the University in the row beside resides in")</v>
      </c>
      <c r="D335" t="b">
        <v>0</v>
      </c>
      <c r="E335" t="b">
        <v>0</v>
      </c>
      <c r="G335" t="b">
        <v>0</v>
      </c>
      <c r="H335" t="b">
        <v>0</v>
      </c>
    </row>
    <row r="336">
      <c r="C336" t="str">
        <f>IFERROR(__xludf.DUMMYFUNCTION("AI(""The city that the University in the row beside resides in"")"),"I do not have enough information to answer the query. I am missing the university name for this row to determine its city.")</f>
        <v>I do not have enough information to answer the query. I am missing the university name for this row to determine its city.</v>
      </c>
      <c r="D336" t="b">
        <v>0</v>
      </c>
      <c r="E336" t="b">
        <v>0</v>
      </c>
      <c r="G336" t="b">
        <v>0</v>
      </c>
      <c r="H336" t="b">
        <v>0</v>
      </c>
    </row>
    <row r="337">
      <c r="C337" t="str">
        <f>IFERROR(__xludf.DUMMYFUNCTION("AI(""The city that the University in the row beside resides in"")"),"=AI(""The city that the University in the row beside resides in"")")</f>
        <v>=AI("The city that the University in the row beside resides in")</v>
      </c>
      <c r="D337" t="b">
        <v>0</v>
      </c>
      <c r="E337" t="b">
        <v>0</v>
      </c>
      <c r="G337" t="b">
        <v>0</v>
      </c>
      <c r="H337" t="b">
        <v>0</v>
      </c>
    </row>
    <row r="338">
      <c r="C338" t="str">
        <f>IFERROR(__xludf.DUMMYFUNCTION("AI(""The city that the University in the row beside resides in"")"),"I do not have enough information to answer the query. I am missing the university name in row 338 to determine the city it resides in.")</f>
        <v>I do not have enough information to answer the query. I am missing the university name in row 338 to determine the city it resides in.</v>
      </c>
      <c r="D338" t="b">
        <v>0</v>
      </c>
      <c r="E338" t="b">
        <v>0</v>
      </c>
      <c r="G338" t="b">
        <v>0</v>
      </c>
      <c r="H338" t="b">
        <v>0</v>
      </c>
    </row>
    <row r="339">
      <c r="C339" t="str">
        <f>IFERROR(__xludf.DUMMYFUNCTION("AI(""The city that the University in the row beside resides in"")"),"=AI(""The city that the University in the row beside resides in"")")</f>
        <v>=AI("The city that the University in the row beside resides in")</v>
      </c>
      <c r="D339" t="b">
        <v>0</v>
      </c>
      <c r="E339" t="b">
        <v>0</v>
      </c>
      <c r="G339" t="b">
        <v>0</v>
      </c>
      <c r="H339" t="b">
        <v>0</v>
      </c>
    </row>
    <row r="340">
      <c r="C340" t="str">
        <f>IFERROR(__xludf.DUMMYFUNCTION("AI(""The city that the University in the row beside resides in"")"),"I do not have enough information to answer the query. I am missing the university name for this row to determine its city.")</f>
        <v>I do not have enough information to answer the query. I am missing the university name for this row to determine its city.</v>
      </c>
      <c r="D340" t="b">
        <v>0</v>
      </c>
      <c r="E340" t="b">
        <v>0</v>
      </c>
      <c r="G340" t="b">
        <v>0</v>
      </c>
      <c r="H340" t="b">
        <v>0</v>
      </c>
    </row>
    <row r="341">
      <c r="C341" t="str">
        <f>IFERROR(__xludf.DUMMYFUNCTION("AI(""The city that the University in the row beside resides in"")"),"I do not have enough information to answer the query. I am missing the university name for this row to determine the city it resides in.")</f>
        <v>I do not have enough information to answer the query. I am missing the university name for this row to determine the city it resides in.</v>
      </c>
      <c r="D341" t="b">
        <v>0</v>
      </c>
      <c r="E341" t="b">
        <v>0</v>
      </c>
      <c r="G341" t="b">
        <v>0</v>
      </c>
      <c r="H341" t="b">
        <v>0</v>
      </c>
    </row>
    <row r="342">
      <c r="C342" t="str">
        <f>IFERROR(__xludf.DUMMYFUNCTION("AI(""The city that the University in the row beside resides in"")"),"I do not have enough information to answer the query. I am missing the university name for this row to determine the city it resides in.")</f>
        <v>I do not have enough information to answer the query. I am missing the university name for this row to determine the city it resides in.</v>
      </c>
      <c r="D342" t="b">
        <v>0</v>
      </c>
      <c r="E342" t="b">
        <v>0</v>
      </c>
      <c r="G342" t="b">
        <v>0</v>
      </c>
      <c r="H342" t="b">
        <v>0</v>
      </c>
    </row>
    <row r="343">
      <c r="C343" t="str">
        <f>IFERROR(__xludf.DUMMYFUNCTION("AI(""The city that the University in the row beside resides in"")"),"I do not have enough information to answer the query. I am missing the university name in row 343 to determine the city it resides in.")</f>
        <v>I do not have enough information to answer the query. I am missing the university name in row 343 to determine the city it resides in.</v>
      </c>
      <c r="D343" t="b">
        <v>0</v>
      </c>
      <c r="E343" t="b">
        <v>0</v>
      </c>
      <c r="G343" t="b">
        <v>0</v>
      </c>
      <c r="H343" t="b">
        <v>0</v>
      </c>
    </row>
    <row r="344">
      <c r="C344" t="str">
        <f>IFERROR(__xludf.DUMMYFUNCTION("AI(""The city that the University in the row beside resides in"")"),"I do not have enough information to answer the query. The name of the university in row 344 is missing from the provided context.")</f>
        <v>I do not have enough information to answer the query. The name of the university in row 344 is missing from the provided context.</v>
      </c>
      <c r="D344" t="b">
        <v>0</v>
      </c>
      <c r="E344" t="b">
        <v>0</v>
      </c>
      <c r="G344" t="b">
        <v>0</v>
      </c>
      <c r="H344" t="b">
        <v>0</v>
      </c>
    </row>
    <row r="345">
      <c r="C345" t="str">
        <f>IFERROR(__xludf.DUMMYFUNCTION("AI(""The city that the University in the row beside resides in"")"),"I do not have enough information to determine the city because the university name for this row is not visible. Please provide the university name.")</f>
        <v>I do not have enough information to determine the city because the university name for this row is not visible. Please provide the university name.</v>
      </c>
      <c r="D345" t="b">
        <v>0</v>
      </c>
      <c r="E345" t="b">
        <v>0</v>
      </c>
      <c r="G345" t="b">
        <v>0</v>
      </c>
      <c r="H345" t="b">
        <v>0</v>
      </c>
    </row>
    <row r="346">
      <c r="C346" t="str">
        <f>IFERROR(__xludf.DUMMYFUNCTION("AI(""The city that the University in the row beside resides in"")"),"I do not have enough information to answer the query. The university name in row 346 is missing from the provided context, so I cannot determine the city.")</f>
        <v>I do not have enough information to answer the query. The university name in row 346 is missing from the provided context, so I cannot determine the city.</v>
      </c>
      <c r="D346" t="b">
        <v>0</v>
      </c>
      <c r="E346" t="b">
        <v>0</v>
      </c>
      <c r="G346" t="b">
        <v>0</v>
      </c>
      <c r="H346" t="b">
        <v>0</v>
      </c>
    </row>
    <row r="347">
      <c r="C347" t="str">
        <f>IFERROR(__xludf.DUMMYFUNCTION("AI(""The city that the University in the row beside resides in"")"),"I do not have enough information to answer the query. I am missing the university name for this row (column B) to determine the city it resides in.")</f>
        <v>I do not have enough information to answer the query. I am missing the university name for this row (column B) to determine the city it resides in.</v>
      </c>
      <c r="D347" t="b">
        <v>0</v>
      </c>
      <c r="E347" t="b">
        <v>0</v>
      </c>
      <c r="G347" t="b">
        <v>0</v>
      </c>
      <c r="H347" t="b">
        <v>0</v>
      </c>
    </row>
    <row r="348">
      <c r="C348" t="str">
        <f>IFERROR(__xludf.DUMMYFUNCTION("AI(""The city that the University in the row beside resides in"")"),"I do not have enough information to answer the query. The university name for row 348 is missing from the provided spreadsheet context.")</f>
        <v>I do not have enough information to answer the query. The university name for row 348 is missing from the provided spreadsheet context.</v>
      </c>
      <c r="D348" t="b">
        <v>0</v>
      </c>
      <c r="E348" t="b">
        <v>0</v>
      </c>
      <c r="G348" t="b">
        <v>0</v>
      </c>
      <c r="H348" t="b">
        <v>0</v>
      </c>
    </row>
    <row r="349">
      <c r="C349" t="str">
        <f>IFERROR(__xludf.DUMMYFUNCTION("AI(""The city that the University in the row beside resides in"")"),"=AI(""The city that the University in the row beside resides in"")")</f>
        <v>=AI("The city that the University in the row beside resides in")</v>
      </c>
      <c r="D349" t="b">
        <v>0</v>
      </c>
      <c r="E349" t="b">
        <v>0</v>
      </c>
      <c r="G349" t="b">
        <v>0</v>
      </c>
      <c r="H349" t="b">
        <v>0</v>
      </c>
    </row>
    <row r="350">
      <c r="C350" t="str">
        <f>IFERROR(__xludf.DUMMYFUNCTION("AI(""The city that the University in the row beside resides in"")"),"I do not have enough information to determine the city because the university name in column B for this row is missing from the provided context.")</f>
        <v>I do not have enough information to determine the city because the university name in column B for this row is missing from the provided context.</v>
      </c>
      <c r="D350" t="b">
        <v>0</v>
      </c>
      <c r="E350" t="b">
        <v>0</v>
      </c>
      <c r="G350" t="b">
        <v>0</v>
      </c>
      <c r="H350" t="b">
        <v>0</v>
      </c>
    </row>
    <row r="351">
      <c r="C351" t="str">
        <f>IFERROR(__xludf.DUMMYFUNCTION("AI(""The city that the University in the row beside resides in"")"),"I do not have enough information to determine the city because the university name for this row is missing from the provided data.")</f>
        <v>I do not have enough information to determine the city because the university name for this row is missing from the provided data.</v>
      </c>
      <c r="D351" t="b">
        <v>0</v>
      </c>
      <c r="E351" t="b">
        <v>0</v>
      </c>
      <c r="G351" t="b">
        <v>0</v>
      </c>
      <c r="H351" t="b">
        <v>0</v>
      </c>
    </row>
    <row r="352">
      <c r="C352" t="str">
        <f>IFERROR(__xludf.DUMMYFUNCTION("AI(""The city that the University in the row beside resides in"")"),"I do not have enough information to answer the query. I am missing the university name for this row to determine its city.")</f>
        <v>I do not have enough information to answer the query. I am missing the university name for this row to determine its city.</v>
      </c>
      <c r="D352" t="b">
        <v>0</v>
      </c>
      <c r="E352" t="b">
        <v>0</v>
      </c>
      <c r="G352" t="b">
        <v>0</v>
      </c>
      <c r="H352" t="b">
        <v>0</v>
      </c>
    </row>
    <row r="353">
      <c r="C353" t="str">
        <f>IFERROR(__xludf.DUMMYFUNCTION("AI(""The city that the University in the row beside resides in"")"),"I do not have enough information to answer the query. I am missing the university name for this row to determine the city it resides in.")</f>
        <v>I do not have enough information to answer the query. I am missing the university name for this row to determine the city it resides in.</v>
      </c>
      <c r="D353" t="b">
        <v>0</v>
      </c>
      <c r="E353" t="b">
        <v>0</v>
      </c>
      <c r="G353" t="b">
        <v>0</v>
      </c>
      <c r="H353" t="b">
        <v>0</v>
      </c>
    </row>
    <row r="354">
      <c r="C354" t="str">
        <f>IFERROR(__xludf.DUMMYFUNCTION("AI(""The city that the University in the row beside resides in"")"),"I do not have enough information to answer the query. I am missing the name of the university in row 354 to determine its city.")</f>
        <v>I do not have enough information to answer the query. I am missing the name of the university in row 354 to determine its city.</v>
      </c>
      <c r="D354" t="b">
        <v>0</v>
      </c>
      <c r="E354" t="b">
        <v>0</v>
      </c>
      <c r="G354" t="b">
        <v>0</v>
      </c>
      <c r="H354" t="b">
        <v>0</v>
      </c>
    </row>
    <row r="355">
      <c r="C355" t="str">
        <f>IFERROR(__xludf.DUMMYFUNCTION("AI(""The city that the University in the row beside resides in"")"),"=AI(""The city that the University in the row beside resides in"")")</f>
        <v>=AI("The city that the University in the row beside resides in")</v>
      </c>
      <c r="D355" t="b">
        <v>0</v>
      </c>
      <c r="E355" t="b">
        <v>0</v>
      </c>
      <c r="G355" t="b">
        <v>0</v>
      </c>
      <c r="H355" t="b">
        <v>0</v>
      </c>
    </row>
    <row r="356">
      <c r="C356" t="str">
        <f>IFERROR(__xludf.DUMMYFUNCTION("AI(""The city that the University in the row beside resides in"")"),"=AI(""The city that the University in the row beside resides in"")")</f>
        <v>=AI("The city that the University in the row beside resides in")</v>
      </c>
      <c r="D356" t="b">
        <v>0</v>
      </c>
      <c r="E356" t="b">
        <v>0</v>
      </c>
      <c r="G356" t="b">
        <v>0</v>
      </c>
      <c r="H356" t="b">
        <v>0</v>
      </c>
    </row>
    <row r="357">
      <c r="C357" t="str">
        <f>IFERROR(__xludf.DUMMYFUNCTION("AI(""The city that the University in the row beside resides in"")"),"=AI(""The city that the University in the row beside resides in"")")</f>
        <v>=AI("The city that the University in the row beside resides in")</v>
      </c>
      <c r="D357" t="b">
        <v>0</v>
      </c>
      <c r="E357" t="b">
        <v>0</v>
      </c>
      <c r="G357" t="b">
        <v>0</v>
      </c>
      <c r="H357" t="b">
        <v>0</v>
      </c>
    </row>
    <row r="358">
      <c r="C358" t="str">
        <f>IFERROR(__xludf.DUMMYFUNCTION("AI(""The city that the University in the row beside resides in"")"),"I do not have enough information to answer the query. I am missing the university name for this row (column B) to determine its city.")</f>
        <v>I do not have enough information to answer the query. I am missing the university name for this row (column B) to determine its city.</v>
      </c>
      <c r="D358" t="b">
        <v>0</v>
      </c>
      <c r="E358" t="b">
        <v>0</v>
      </c>
      <c r="G358" t="b">
        <v>0</v>
      </c>
      <c r="H358" t="b">
        <v>0</v>
      </c>
    </row>
    <row r="359">
      <c r="C359" t="str">
        <f>IFERROR(__xludf.DUMMYFUNCTION("AI(""The city that the University in the row beside resides in"")"),"I do not have enough information to answer the query. I am missing the name of the university in row 359 (Column B) to determine which city it resides in.")</f>
        <v>I do not have enough information to answer the query. I am missing the name of the university in row 359 (Column B) to determine which city it resides in.</v>
      </c>
      <c r="D359" t="b">
        <v>0</v>
      </c>
      <c r="E359" t="b">
        <v>0</v>
      </c>
      <c r="G359" t="b">
        <v>0</v>
      </c>
      <c r="H359" t="b">
        <v>0</v>
      </c>
    </row>
    <row r="360">
      <c r="C360" t="str">
        <f>IFERROR(__xludf.DUMMYFUNCTION("AI(""The city that the University in the row beside resides in"")"),"I do not have enough information to answer the query. I am missing the university name for this row to determine the city it resides in.")</f>
        <v>I do not have enough information to answer the query. I am missing the university name for this row to determine the city it resides in.</v>
      </c>
      <c r="D360" t="b">
        <v>0</v>
      </c>
      <c r="E360" t="b">
        <v>0</v>
      </c>
      <c r="G360" t="b">
        <v>0</v>
      </c>
      <c r="H360" t="b">
        <v>0</v>
      </c>
    </row>
    <row r="361">
      <c r="C361" t="str">
        <f>IFERROR(__xludf.DUMMYFUNCTION("AI(""The city that the University in the row beside resides in"")"),"I do not have enough information to answer the query. I am missing the university name for this row to determine the city it resides in.")</f>
        <v>I do not have enough information to answer the query. I am missing the university name for this row to determine the city it resides in.</v>
      </c>
      <c r="D361" t="b">
        <v>0</v>
      </c>
      <c r="E361" t="b">
        <v>0</v>
      </c>
      <c r="G361" t="b">
        <v>0</v>
      </c>
      <c r="H361" t="b">
        <v>0</v>
      </c>
    </row>
    <row r="362">
      <c r="C362" t="str">
        <f>IFERROR(__xludf.DUMMYFUNCTION("AI(""The city that the University in the row beside resides in"")"),"I do not have enough information to answer the query. I am missing the name of the university in row 362 to determine its city.")</f>
        <v>I do not have enough information to answer the query. I am missing the name of the university in row 362 to determine its city.</v>
      </c>
      <c r="D362" t="b">
        <v>0</v>
      </c>
      <c r="E362" t="b">
        <v>0</v>
      </c>
      <c r="G362" t="b">
        <v>0</v>
      </c>
      <c r="H362" t="b">
        <v>0</v>
      </c>
    </row>
    <row r="363">
      <c r="C363" t="str">
        <f>IFERROR(__xludf.DUMMYFUNCTION("AI(""The city that the University in the row beside resides in"")"),"=AI(""The city that the University in the row beside resides in"")")</f>
        <v>=AI("The city that the University in the row beside resides in")</v>
      </c>
      <c r="D363" t="b">
        <v>0</v>
      </c>
      <c r="E363" t="b">
        <v>0</v>
      </c>
      <c r="G363" t="b">
        <v>0</v>
      </c>
      <c r="H363" t="b">
        <v>0</v>
      </c>
    </row>
    <row r="364">
      <c r="C364" t="str">
        <f>IFERROR(__xludf.DUMMYFUNCTION("AI(""The city that the University in the row beside resides in"")"),"=AI(""The city that the University in the row beside resides in"")")</f>
        <v>=AI("The city that the University in the row beside resides in")</v>
      </c>
      <c r="D364" t="b">
        <v>0</v>
      </c>
      <c r="E364" t="b">
        <v>0</v>
      </c>
      <c r="G364" t="b">
        <v>0</v>
      </c>
      <c r="H364" t="b">
        <v>0</v>
      </c>
    </row>
    <row r="365">
      <c r="C365" t="str">
        <f>IFERROR(__xludf.DUMMYFUNCTION("AI(""The city that the University in the row beside resides in"")"),"I do not have enough information to answer the query. I am missing the university name for this row to determine the city it resides in.")</f>
        <v>I do not have enough information to answer the query. I am missing the university name for this row to determine the city it resides in.</v>
      </c>
      <c r="D365" t="b">
        <v>0</v>
      </c>
      <c r="E365" t="b">
        <v>0</v>
      </c>
      <c r="G365" t="b">
        <v>0</v>
      </c>
      <c r="H365" t="b">
        <v>0</v>
      </c>
    </row>
    <row r="366">
      <c r="C366" t="str">
        <f>IFERROR(__xludf.DUMMYFUNCTION("AI(""The city that the University in the row beside resides in"")"),"I do not have enough information to answer the query. I am missing the university name for this row to determine the city.")</f>
        <v>I do not have enough information to answer the query. I am missing the university name for this row to determine the city.</v>
      </c>
      <c r="D366" t="b">
        <v>0</v>
      </c>
      <c r="E366" t="b">
        <v>0</v>
      </c>
      <c r="G366" t="b">
        <v>0</v>
      </c>
      <c r="H366" t="b">
        <v>0</v>
      </c>
    </row>
    <row r="367">
      <c r="C367" t="str">
        <f>IFERROR(__xludf.DUMMYFUNCTION("AI(""The city that the University in the row beside resides in"")"),"=AI(""The city that the University in the row beside resides in"")")</f>
        <v>=AI("The city that the University in the row beside resides in")</v>
      </c>
      <c r="D367" t="b">
        <v>0</v>
      </c>
      <c r="E367" t="b">
        <v>0</v>
      </c>
      <c r="G367" t="b">
        <v>0</v>
      </c>
      <c r="H367" t="b">
        <v>0</v>
      </c>
    </row>
    <row r="368">
      <c r="C368" t="str">
        <f>IFERROR(__xludf.DUMMYFUNCTION("AI(""The city that the University in the row beside resides in"")"),"=AI(""The city that the University in the row beside resides in"")")</f>
        <v>=AI("The city that the University in the row beside resides in")</v>
      </c>
      <c r="D368" t="b">
        <v>0</v>
      </c>
      <c r="E368" t="b">
        <v>0</v>
      </c>
      <c r="G368" t="b">
        <v>0</v>
      </c>
      <c r="H368" t="b">
        <v>0</v>
      </c>
    </row>
    <row r="369">
      <c r="C369" t="str">
        <f>IFERROR(__xludf.DUMMYFUNCTION("AI(""The city that the University in the row beside resides in"")"),"=AI(""The city that the University in the row beside resides in"")")</f>
        <v>=AI("The city that the University in the row beside resides in")</v>
      </c>
      <c r="D369" t="b">
        <v>0</v>
      </c>
      <c r="E369" t="b">
        <v>0</v>
      </c>
      <c r="G369" t="b">
        <v>0</v>
      </c>
      <c r="H369" t="b">
        <v>0</v>
      </c>
    </row>
    <row r="370">
      <c r="C370" t="str">
        <f>IFERROR(__xludf.DUMMYFUNCTION("AI(""The city that the University in the row beside resides in"")"),"=AI(""The city that the University in the row beside resides in"")")</f>
        <v>=AI("The city that the University in the row beside resides in")</v>
      </c>
      <c r="D370" t="b">
        <v>0</v>
      </c>
      <c r="E370" t="b">
        <v>0</v>
      </c>
      <c r="G370" t="b">
        <v>0</v>
      </c>
      <c r="H370" t="b">
        <v>0</v>
      </c>
    </row>
    <row r="371">
      <c r="C371" t="str">
        <f>IFERROR(__xludf.DUMMYFUNCTION("AI(""The city that the University in the row beside resides in"")"),"I do not have enough information to answer this query. I am missing the university name for this row (cell B371) to determine the city it resides in.")</f>
        <v>I do not have enough information to answer this query. I am missing the university name for this row (cell B371) to determine the city it resides in.</v>
      </c>
      <c r="D371" t="b">
        <v>0</v>
      </c>
      <c r="E371" t="b">
        <v>0</v>
      </c>
      <c r="G371" t="b">
        <v>0</v>
      </c>
      <c r="H371" t="b">
        <v>0</v>
      </c>
    </row>
    <row r="372">
      <c r="C372" t="str">
        <f>IFERROR(__xludf.DUMMYFUNCTION("AI(""The city that the University in the row beside resides in"")"),"I do not have enough information to determine the city because the university name for this row is missing from the provided context. Please provide the university name.")</f>
        <v>I do not have enough information to determine the city because the university name for this row is missing from the provided context. Please provide the university name.</v>
      </c>
      <c r="D372" t="b">
        <v>0</v>
      </c>
      <c r="E372" t="b">
        <v>0</v>
      </c>
      <c r="G372" t="b">
        <v>0</v>
      </c>
      <c r="H372" t="b">
        <v>0</v>
      </c>
    </row>
    <row r="373">
      <c r="C373" t="str">
        <f>IFERROR(__xludf.DUMMYFUNCTION("AI(""The city that the University in the row beside resides in"")"),"I do not have enough information to answer the query. I am missing the university name in column B for this row to determine the city it resides in.")</f>
        <v>I do not have enough information to answer the query. I am missing the university name in column B for this row to determine the city it resides in.</v>
      </c>
      <c r="D373" t="b">
        <v>0</v>
      </c>
      <c r="E373" t="b">
        <v>0</v>
      </c>
      <c r="G373" t="b">
        <v>0</v>
      </c>
      <c r="H373" t="b">
        <v>0</v>
      </c>
    </row>
    <row r="374">
      <c r="C374" t="str">
        <f>IFERROR(__xludf.DUMMYFUNCTION("AI(""The city that the University in the row beside resides in"")"),"I do not have enough information to answer the query. I am missing the university name for this row to determine the city it resides in.")</f>
        <v>I do not have enough information to answer the query. I am missing the university name for this row to determine the city it resides in.</v>
      </c>
      <c r="D374" t="b">
        <v>0</v>
      </c>
      <c r="E374" t="b">
        <v>0</v>
      </c>
      <c r="G374" t="b">
        <v>0</v>
      </c>
      <c r="H374" t="b">
        <v>0</v>
      </c>
    </row>
    <row r="375">
      <c r="C375" t="str">
        <f>IFERROR(__xludf.DUMMYFUNCTION("AI(""The city that the University in the row beside resides in"")"),"I do not have enough information to answer the query. I am missing the university name for row 375 to determine its city.")</f>
        <v>I do not have enough information to answer the query. I am missing the university name for row 375 to determine its city.</v>
      </c>
      <c r="D375" t="b">
        <v>0</v>
      </c>
      <c r="E375" t="b">
        <v>0</v>
      </c>
      <c r="G375" t="b">
        <v>0</v>
      </c>
      <c r="H375" t="b">
        <v>0</v>
      </c>
    </row>
    <row r="376">
      <c r="C376" t="str">
        <f>IFERROR(__xludf.DUMMYFUNCTION("AI(""The city that the University in the row beside resides in"")"),"=AI(""The city that the University in the row beside resides in"")")</f>
        <v>=AI("The city that the University in the row beside resides in")</v>
      </c>
      <c r="D376" t="b">
        <v>0</v>
      </c>
      <c r="E376" t="b">
        <v>0</v>
      </c>
      <c r="G376" t="b">
        <v>0</v>
      </c>
      <c r="H376" t="b">
        <v>0</v>
      </c>
    </row>
    <row r="377">
      <c r="C377" t="str">
        <f>IFERROR(__xludf.DUMMYFUNCTION("AI(""The city that the University in the row beside resides in"")"),"=AI(""The city that the University in the row beside resides in"")")</f>
        <v>=AI("The city that the University in the row beside resides in")</v>
      </c>
      <c r="D377" t="b">
        <v>0</v>
      </c>
      <c r="E377" t="b">
        <v>0</v>
      </c>
      <c r="G377" t="b">
        <v>0</v>
      </c>
      <c r="H377" t="b">
        <v>0</v>
      </c>
    </row>
    <row r="378">
      <c r="C378" t="str">
        <f>IFERROR(__xludf.DUMMYFUNCTION("AI(""The city that the University in the row beside resides in"")"),"I do not have enough information to answer the query. The university name for row 378 is missing from the spreadsheet data provided.")</f>
        <v>I do not have enough information to answer the query. The university name for row 378 is missing from the spreadsheet data provided.</v>
      </c>
      <c r="D378" t="b">
        <v>0</v>
      </c>
      <c r="E378" t="b">
        <v>0</v>
      </c>
      <c r="G378" t="b">
        <v>0</v>
      </c>
      <c r="H378" t="b">
        <v>0</v>
      </c>
    </row>
    <row r="379">
      <c r="C379" t="str">
        <f>IFERROR(__xludf.DUMMYFUNCTION("AI(""The city that the University in the row beside resides in"")"),"I do not have enough information to answer the query. I am missing the name of the university in the row beside to determine its city.")</f>
        <v>I do not have enough information to answer the query. I am missing the name of the university in the row beside to determine its city.</v>
      </c>
      <c r="D379" t="b">
        <v>0</v>
      </c>
      <c r="E379" t="b">
        <v>0</v>
      </c>
      <c r="G379" t="b">
        <v>0</v>
      </c>
      <c r="H379" t="b">
        <v>0</v>
      </c>
    </row>
    <row r="380">
      <c r="C380" t="str">
        <f>IFERROR(__xludf.DUMMYFUNCTION("AI(""The city that the University in the row beside resides in"")"),"I do not have enough information to determine the city because the university name in the row beside (column B, row 380) is not provided in the spreadsheet context. Please provide the university name to find its city.")</f>
        <v>I do not have enough information to determine the city because the university name in the row beside (column B, row 380) is not provided in the spreadsheet context. Please provide the university name to find its city.</v>
      </c>
      <c r="D380" t="b">
        <v>0</v>
      </c>
      <c r="E380" t="b">
        <v>0</v>
      </c>
      <c r="G380" t="b">
        <v>0</v>
      </c>
      <c r="H380" t="b">
        <v>0</v>
      </c>
    </row>
    <row r="381">
      <c r="C381" t="str">
        <f>IFERROR(__xludf.DUMMYFUNCTION("AI(""The city that the University in the row beside resides in"")"),"I do not have enough information to answer the query. I am missing the university name for this row to determine the city it resides in.")</f>
        <v>I do not have enough information to answer the query. I am missing the university name for this row to determine the city it resides in.</v>
      </c>
      <c r="D381" t="b">
        <v>0</v>
      </c>
      <c r="E381" t="b">
        <v>0</v>
      </c>
      <c r="G381" t="b">
        <v>0</v>
      </c>
      <c r="H381" t="b">
        <v>0</v>
      </c>
    </row>
    <row r="382">
      <c r="C382" t="str">
        <f>IFERROR(__xludf.DUMMYFUNCTION("AI(""The city that the University in the row beside resides in"")"),"I do not have enough information to determine the city because the university name for this row is missing from the provided context. Please ensure the university name column is included.")</f>
        <v>I do not have enough information to determine the city because the university name for this row is missing from the provided context. Please ensure the university name column is included.</v>
      </c>
      <c r="D382" t="b">
        <v>0</v>
      </c>
      <c r="E382" t="b">
        <v>0</v>
      </c>
      <c r="G382" t="b">
        <v>0</v>
      </c>
      <c r="H382" t="b">
        <v>0</v>
      </c>
    </row>
    <row r="383">
      <c r="C383" t="str">
        <f>IFERROR(__xludf.DUMMYFUNCTION("AI(""The city that the University in the row beside resides in"")"),"I do not have enough information to answer the query. I am missing the university name for this row to determine the city it resides in.")</f>
        <v>I do not have enough information to answer the query. I am missing the university name for this row to determine the city it resides in.</v>
      </c>
      <c r="D383" t="b">
        <v>0</v>
      </c>
      <c r="E383" t="b">
        <v>0</v>
      </c>
      <c r="G383" t="b">
        <v>0</v>
      </c>
      <c r="H383" t="b">
        <v>0</v>
      </c>
    </row>
    <row r="384">
      <c r="C384" t="str">
        <f>IFERROR(__xludf.DUMMYFUNCTION("AI(""The city that the University in the row beside resides in"")"),"=AI(""The city that the University in the row beside resides in"")")</f>
        <v>=AI("The city that the University in the row beside resides in")</v>
      </c>
      <c r="D384" t="b">
        <v>0</v>
      </c>
      <c r="E384" t="b">
        <v>0</v>
      </c>
      <c r="G384" t="b">
        <v>0</v>
      </c>
      <c r="H384" t="b">
        <v>0</v>
      </c>
    </row>
    <row r="385">
      <c r="C385" t="str">
        <f>IFERROR(__xludf.DUMMYFUNCTION("AI(""The city that the University in the row beside resides in"")"),"=AI(""The city that the University in the row beside resides in"")")</f>
        <v>=AI("The city that the University in the row beside resides in")</v>
      </c>
      <c r="D385" t="b">
        <v>0</v>
      </c>
      <c r="E385" t="b">
        <v>0</v>
      </c>
      <c r="G385" t="b">
        <v>0</v>
      </c>
      <c r="H385" t="b">
        <v>0</v>
      </c>
    </row>
    <row r="386">
      <c r="C386" t="str">
        <f>IFERROR(__xludf.DUMMYFUNCTION("AI(""The city that the University in the row beside resides in"")"),"I do not have enough information to answer the query. I am missing the university name for this row to determine its city.")</f>
        <v>I do not have enough information to answer the query. I am missing the university name for this row to determine its city.</v>
      </c>
      <c r="D386" t="b">
        <v>0</v>
      </c>
      <c r="E386" t="b">
        <v>0</v>
      </c>
      <c r="G386" t="b">
        <v>0</v>
      </c>
      <c r="H386" t="b">
        <v>0</v>
      </c>
    </row>
    <row r="387">
      <c r="C387" t="str">
        <f>IFERROR(__xludf.DUMMYFUNCTION("AI(""The city that the University in the row beside resides in"")"),"I do not have enough information to answer the query. I am missing the university name from column B (NLUniversityName) for this row to determine its city.")</f>
        <v>I do not have enough information to answer the query. I am missing the university name from column B (NLUniversityName) for this row to determine its city.</v>
      </c>
      <c r="D387" t="b">
        <v>0</v>
      </c>
      <c r="E387" t="b">
        <v>0</v>
      </c>
      <c r="G387" t="b">
        <v>0</v>
      </c>
      <c r="H387" t="b">
        <v>0</v>
      </c>
    </row>
    <row r="388">
      <c r="C388" t="str">
        <f>IFERROR(__xludf.DUMMYFUNCTION("AI(""The city that the University in the row beside resides in"")"),"=AI(""The city that the University in the row beside resides in"")")</f>
        <v>=AI("The city that the University in the row beside resides in")</v>
      </c>
      <c r="D388" t="b">
        <v>0</v>
      </c>
      <c r="E388" t="b">
        <v>0</v>
      </c>
      <c r="G388" t="b">
        <v>0</v>
      </c>
      <c r="H388" t="b">
        <v>0</v>
      </c>
    </row>
    <row r="389">
      <c r="C389" t="str">
        <f>IFERROR(__xludf.DUMMYFUNCTION("AI(""The city that the University in the row beside resides in"")"),"I do not have enough information to answer the query. I am missing the university name for this row to determine the city it resides in.")</f>
        <v>I do not have enough information to answer the query. I am missing the university name for this row to determine the city it resides in.</v>
      </c>
      <c r="D389" t="b">
        <v>0</v>
      </c>
      <c r="E389" t="b">
        <v>0</v>
      </c>
      <c r="G389" t="b">
        <v>0</v>
      </c>
      <c r="H389" t="b">
        <v>0</v>
      </c>
    </row>
    <row r="390">
      <c r="C390" t="str">
        <f>IFERROR(__xludf.DUMMYFUNCTION("AI(""The city that the University in the row beside resides in"")"),"I do not have enough information to determine the city because the university name in row 390 is missing from the provided context.")</f>
        <v>I do not have enough information to determine the city because the university name in row 390 is missing from the provided context.</v>
      </c>
      <c r="D390" t="b">
        <v>0</v>
      </c>
      <c r="E390" t="b">
        <v>0</v>
      </c>
      <c r="G390" t="b">
        <v>0</v>
      </c>
      <c r="H390" t="b">
        <v>0</v>
      </c>
    </row>
    <row r="391">
      <c r="C391" t="str">
        <f>IFERROR(__xludf.DUMMYFUNCTION("AI(""The city that the University in the row beside resides in"")"),"=AI(""The city that the University in the row beside resides in"")")</f>
        <v>=AI("The city that the University in the row beside resides in")</v>
      </c>
      <c r="D391" t="b">
        <v>0</v>
      </c>
      <c r="E391" t="b">
        <v>0</v>
      </c>
      <c r="G391" t="b">
        <v>0</v>
      </c>
      <c r="H391" t="b">
        <v>0</v>
      </c>
    </row>
    <row r="392">
      <c r="C392" t="str">
        <f>IFERROR(__xludf.DUMMYFUNCTION("AI(""The city that the University in the row beside resides in"")"),"=AI(""The city that the University in the row beside resides in"")")</f>
        <v>=AI("The city that the University in the row beside resides in")</v>
      </c>
      <c r="D392" t="b">
        <v>0</v>
      </c>
      <c r="E392" t="b">
        <v>0</v>
      </c>
      <c r="G392" t="b">
        <v>0</v>
      </c>
      <c r="H392" t="b">
        <v>0</v>
      </c>
    </row>
    <row r="393">
      <c r="C393" t="str">
        <f>IFERROR(__xludf.DUMMYFUNCTION("AI(""The city that the University in the row beside resides in"")"),"I do not have enough information to answer the query. I am missing the university name for this row to determine the city it resides in.")</f>
        <v>I do not have enough information to answer the query. I am missing the university name for this row to determine the city it resides in.</v>
      </c>
      <c r="D393" t="b">
        <v>0</v>
      </c>
      <c r="E393" t="b">
        <v>0</v>
      </c>
      <c r="G393" t="b">
        <v>0</v>
      </c>
      <c r="H393" t="b">
        <v>0</v>
      </c>
    </row>
    <row r="394">
      <c r="C394" t="str">
        <f>IFERROR(__xludf.DUMMYFUNCTION("AI(""The city that the University in the row beside resides in"")"),"I do not have enough information to answer the query. I am missing the name of the university in the row beside this cell to determine its city.")</f>
        <v>I do not have enough information to answer the query. I am missing the name of the university in the row beside this cell to determine its city.</v>
      </c>
      <c r="D394" t="b">
        <v>0</v>
      </c>
      <c r="E394" t="b">
        <v>0</v>
      </c>
      <c r="G394" t="b">
        <v>0</v>
      </c>
      <c r="H394" t="b">
        <v>0</v>
      </c>
    </row>
    <row r="395">
      <c r="C395" t="str">
        <f>IFERROR(__xludf.DUMMYFUNCTION("AI(""The city that the University in the row beside resides in"")"),"I do not have enough information to answer the query. I am missing the university name for this row to determine the city it resides in.")</f>
        <v>I do not have enough information to answer the query. I am missing the university name for this row to determine the city it resides in.</v>
      </c>
      <c r="D395" t="b">
        <v>0</v>
      </c>
      <c r="E395" t="b">
        <v>0</v>
      </c>
      <c r="G395" t="b">
        <v>0</v>
      </c>
      <c r="H395" t="b">
        <v>0</v>
      </c>
    </row>
    <row r="396">
      <c r="C396" t="str">
        <f>IFERROR(__xludf.DUMMYFUNCTION("AI(""The city that the University in the row beside resides in"")"),"I do not have enough information to determine the city because the university name for this row is missing from the provided spreadsheet context. please provide the university name to get the correct city.")</f>
        <v>I do not have enough information to determine the city because the university name for this row is missing from the provided spreadsheet context. please provide the university name to get the correct city.</v>
      </c>
      <c r="D396" t="b">
        <v>0</v>
      </c>
      <c r="E396" t="b">
        <v>0</v>
      </c>
      <c r="G396" t="b">
        <v>0</v>
      </c>
      <c r="H396" t="b">
        <v>0</v>
      </c>
    </row>
    <row r="397">
      <c r="C397" t="str">
        <f>IFERROR(__xludf.DUMMYFUNCTION("AI(""The city that the University in the row beside resides in"")"),"I do not have enough information to find the city because the university name for this row is missing from the provided context.")</f>
        <v>I do not have enough information to find the city because the university name for this row is missing from the provided context.</v>
      </c>
      <c r="D397" t="b">
        <v>0</v>
      </c>
      <c r="E397" t="b">
        <v>0</v>
      </c>
      <c r="G397" t="b">
        <v>0</v>
      </c>
      <c r="H397" t="b">
        <v>0</v>
      </c>
    </row>
    <row r="398">
      <c r="C398" t="str">
        <f>IFERROR(__xludf.DUMMYFUNCTION("AI(""The city that the University in the row beside resides in"")"),"=AI(""The city that the University in the row beside resides in"")")</f>
        <v>=AI("The city that the University in the row beside resides in")</v>
      </c>
      <c r="D398" t="b">
        <v>0</v>
      </c>
      <c r="E398" t="b">
        <v>0</v>
      </c>
      <c r="G398" t="b">
        <v>0</v>
      </c>
      <c r="H398" t="b">
        <v>0</v>
      </c>
    </row>
    <row r="399">
      <c r="C399" t="str">
        <f>IFERROR(__xludf.DUMMYFUNCTION("AI(""The city that the University in the row beside resides in"")"),"I do not have enough information to determine the city because the university name in column B is missing for this row.")</f>
        <v>I do not have enough information to determine the city because the university name in column B is missing for this row.</v>
      </c>
      <c r="D399" t="b">
        <v>0</v>
      </c>
      <c r="E399" t="b">
        <v>0</v>
      </c>
      <c r="G399" t="b">
        <v>0</v>
      </c>
      <c r="H399" t="b">
        <v>0</v>
      </c>
    </row>
    <row r="400">
      <c r="C400" t="str">
        <f>IFERROR(__xludf.DUMMYFUNCTION("AI(""The city that the University in the row beside resides in"")"),"=AI(""The city that the University in the row beside resides in"")")</f>
        <v>=AI("The city that the University in the row beside resides in")</v>
      </c>
      <c r="D400" t="b">
        <v>0</v>
      </c>
      <c r="E400" t="b">
        <v>0</v>
      </c>
      <c r="G400" t="b">
        <v>0</v>
      </c>
      <c r="H400" t="b">
        <v>0</v>
      </c>
    </row>
    <row r="401">
      <c r="C401" t="str">
        <f>IFERROR(__xludf.DUMMYFUNCTION("AI(""The city that the University in the row beside resides in"")"),"I do not have enough information to answer the query. I am missing the name of the university in row 401 to determine its city.")</f>
        <v>I do not have enough information to answer the query. I am missing the name of the university in row 401 to determine its city.</v>
      </c>
      <c r="D401" t="b">
        <v>0</v>
      </c>
      <c r="E401" t="b">
        <v>0</v>
      </c>
      <c r="G401" t="b">
        <v>0</v>
      </c>
      <c r="H401" t="b">
        <v>0</v>
      </c>
    </row>
    <row r="402">
      <c r="C402" t="str">
        <f>IFERROR(__xludf.DUMMYFUNCTION("AI(""The city that the University in the row beside resides in"")"),"I do not have enough information to answer the query. I am missing the name of the university in row 402 (Column B) to determine which city it resides in.")</f>
        <v>I do not have enough information to answer the query. I am missing the name of the university in row 402 (Column B) to determine which city it resides in.</v>
      </c>
      <c r="D402" t="b">
        <v>0</v>
      </c>
      <c r="E402" t="b">
        <v>0</v>
      </c>
      <c r="G402" t="b">
        <v>0</v>
      </c>
      <c r="H402" t="b">
        <v>0</v>
      </c>
    </row>
    <row r="403">
      <c r="C403" t="str">
        <f>IFERROR(__xludf.DUMMYFUNCTION("AI(""The city that the University in the row beside resides in"")"),"I do not have enough information to answer the query because the university name in column B for row 403 is missing from the provided context.")</f>
        <v>I do not have enough information to answer the query because the university name in column B for row 403 is missing from the provided context.</v>
      </c>
      <c r="D403" t="b">
        <v>0</v>
      </c>
      <c r="E403" t="b">
        <v>0</v>
      </c>
      <c r="G403" t="b">
        <v>0</v>
      </c>
      <c r="H403" t="b">
        <v>0</v>
      </c>
    </row>
    <row r="404">
      <c r="C404" t="str">
        <f>IFERROR(__xludf.DUMMYFUNCTION("AI(""The city that the University in the row beside resides in"")"),"=AI(""The city that the University in the row beside resides in"")")</f>
        <v>=AI("The city that the University in the row beside resides in")</v>
      </c>
      <c r="D404" t="b">
        <v>0</v>
      </c>
      <c r="E404" t="b">
        <v>0</v>
      </c>
      <c r="G404" t="b">
        <v>0</v>
      </c>
      <c r="H404" t="b">
        <v>0</v>
      </c>
    </row>
    <row r="405">
      <c r="C405" t="str">
        <f>IFERROR(__xludf.DUMMYFUNCTION("AI(""The city that the University in the row beside resides in"")"),"=AI(""The city that the University in the row beside resides in"")")</f>
        <v>=AI("The city that the University in the row beside resides in")</v>
      </c>
      <c r="D405" t="b">
        <v>0</v>
      </c>
      <c r="E405" t="b">
        <v>0</v>
      </c>
      <c r="G405" t="b">
        <v>0</v>
      </c>
      <c r="H405" t="b">
        <v>0</v>
      </c>
    </row>
    <row r="406">
      <c r="C406" t="str">
        <f>IFERROR(__xludf.DUMMYFUNCTION("AI(""The city that the University in the row beside resides in"")"),"I do not have enough information to answer the query because the university name in column B for this row is missing from the provided context.")</f>
        <v>I do not have enough information to answer the query because the university name in column B for this row is missing from the provided context.</v>
      </c>
      <c r="D406" t="b">
        <v>0</v>
      </c>
      <c r="E406" t="b">
        <v>0</v>
      </c>
      <c r="G406" t="b">
        <v>0</v>
      </c>
      <c r="H406" t="b">
        <v>0</v>
      </c>
    </row>
    <row r="407">
      <c r="C407" t="str">
        <f>IFERROR(__xludf.DUMMYFUNCTION("AI(""The city that the University in the row beside resides in"")"),"I do not have enough information to answer the query. I am missing the university name for this row to determine the city it resides in.")</f>
        <v>I do not have enough information to answer the query. I am missing the university name for this row to determine the city it resides in.</v>
      </c>
      <c r="D407" t="b">
        <v>0</v>
      </c>
      <c r="E407" t="b">
        <v>0</v>
      </c>
      <c r="G407" t="b">
        <v>0</v>
      </c>
      <c r="H407" t="b">
        <v>0</v>
      </c>
    </row>
    <row r="408">
      <c r="C408" t="str">
        <f>IFERROR(__xludf.DUMMYFUNCTION("AI(""The city that the University in the row beside resides in"")"),"I do not have enough information to answer the query because the university name in row 408 is missing from the provided context.")</f>
        <v>I do not have enough information to answer the query because the university name in row 408 is missing from the provided context.</v>
      </c>
      <c r="D408" t="b">
        <v>0</v>
      </c>
      <c r="E408" t="b">
        <v>0</v>
      </c>
      <c r="G408" t="b">
        <v>0</v>
      </c>
      <c r="H408" t="b">
        <v>0</v>
      </c>
    </row>
    <row r="409">
      <c r="C409" t="str">
        <f>IFERROR(__xludf.DUMMYFUNCTION("AI(""The city that the University in the row beside resides in"")"),"=AI(""The city that the University in the row beside resides in"")")</f>
        <v>=AI("The city that the University in the row beside resides in")</v>
      </c>
      <c r="D409" t="b">
        <v>0</v>
      </c>
      <c r="E409" t="b">
        <v>0</v>
      </c>
      <c r="G409" t="b">
        <v>0</v>
      </c>
      <c r="H409" t="b">
        <v>0</v>
      </c>
    </row>
    <row r="410">
      <c r="C410" t="str">
        <f>IFERROR(__xludf.DUMMYFUNCTION("AI(""The city that the University in the row beside resides in"")"),"I do not have enough information to answer the query. I am missing the university name for this row to determine the city it resides in.")</f>
        <v>I do not have enough information to answer the query. I am missing the university name for this row to determine the city it resides in.</v>
      </c>
      <c r="D410" t="b">
        <v>0</v>
      </c>
      <c r="E410" t="b">
        <v>0</v>
      </c>
      <c r="G410" t="b">
        <v>0</v>
      </c>
      <c r="H410" t="b">
        <v>0</v>
      </c>
    </row>
    <row r="411">
      <c r="C411" t="str">
        <f>IFERROR(__xludf.DUMMYFUNCTION("AI(""The city that the University in the row beside resides in"")"),"I do not have enough information to answer the query. I am missing the name of the university in row 411 to determine its city.")</f>
        <v>I do not have enough information to answer the query. I am missing the name of the university in row 411 to determine its city.</v>
      </c>
      <c r="D411" t="b">
        <v>0</v>
      </c>
      <c r="E411" t="b">
        <v>0</v>
      </c>
      <c r="G411" t="b">
        <v>0</v>
      </c>
      <c r="H411" t="b">
        <v>0</v>
      </c>
    </row>
    <row r="412">
      <c r="C412" t="str">
        <f>IFERROR(__xludf.DUMMYFUNCTION("AI(""The city that the University in the row beside resides in"")"),"I do not have enough information to answer this query because the university name in the row beside is missing.")</f>
        <v>I do not have enough information to answer this query because the university name in the row beside is missing.</v>
      </c>
      <c r="D412" t="b">
        <v>0</v>
      </c>
      <c r="E412" t="b">
        <v>0</v>
      </c>
      <c r="G412" t="b">
        <v>0</v>
      </c>
      <c r="H412" t="b">
        <v>0</v>
      </c>
    </row>
    <row r="413">
      <c r="C413" t="str">
        <f>IFERROR(__xludf.DUMMYFUNCTION("AI(""The city that the University in the row beside resides in"")"),"I do not have enough information to answer the query. I am missing the name of the university in the row beside (Column B) to determine its city.")</f>
        <v>I do not have enough information to answer the query. I am missing the name of the university in the row beside (Column B) to determine its city.</v>
      </c>
      <c r="D413" t="b">
        <v>0</v>
      </c>
      <c r="E413" t="b">
        <v>0</v>
      </c>
      <c r="G413" t="b">
        <v>0</v>
      </c>
      <c r="H413" t="b">
        <v>0</v>
      </c>
    </row>
    <row r="414">
      <c r="C414" t="str">
        <f>IFERROR(__xludf.DUMMYFUNCTION("AI(""The city that the University in the row beside resides in"")"),"I do not have enough information to answer the query. I am missing the name of the university in row 414 to determine its city.")</f>
        <v>I do not have enough information to answer the query. I am missing the name of the university in row 414 to determine its city.</v>
      </c>
      <c r="D414" t="b">
        <v>0</v>
      </c>
      <c r="E414" t="b">
        <v>0</v>
      </c>
      <c r="G414" t="b">
        <v>0</v>
      </c>
      <c r="H414" t="b">
        <v>0</v>
      </c>
    </row>
    <row r="415">
      <c r="C415" t="str">
        <f>IFERROR(__xludf.DUMMYFUNCTION("AI(""The city that the University in the row beside resides in"")"),"I do not have enough information to answer the query. I am missing the university name for this row to determine the city in which it is located.")</f>
        <v>I do not have enough information to answer the query. I am missing the university name for this row to determine the city in which it is located.</v>
      </c>
      <c r="D415" t="b">
        <v>0</v>
      </c>
      <c r="E415" t="b">
        <v>0</v>
      </c>
      <c r="G415" t="b">
        <v>0</v>
      </c>
      <c r="H415" t="b">
        <v>0</v>
      </c>
    </row>
    <row r="416">
      <c r="C416" t="str">
        <f>IFERROR(__xludf.DUMMYFUNCTION("AI(""The city that the University in the row beside resides in"")"),"I do not have enough information to answer the query. The name of the university for this row is missing from the provided data.")</f>
        <v>I do not have enough information to answer the query. The name of the university for this row is missing from the provided data.</v>
      </c>
      <c r="D416" t="b">
        <v>0</v>
      </c>
      <c r="E416" t="b">
        <v>0</v>
      </c>
      <c r="G416" t="b">
        <v>0</v>
      </c>
      <c r="H416" t="b">
        <v>0</v>
      </c>
    </row>
    <row r="417">
      <c r="C417" t="str">
        <f>IFERROR(__xludf.DUMMYFUNCTION("AI(""The city that the University in the row beside resides in"")"),"=AI(""The city that the University in the row beside resides in"")")</f>
        <v>=AI("The city that the University in the row beside resides in")</v>
      </c>
      <c r="D417" t="b">
        <v>0</v>
      </c>
      <c r="E417" t="b">
        <v>0</v>
      </c>
      <c r="G417" t="b">
        <v>0</v>
      </c>
      <c r="H417" t="b">
        <v>0</v>
      </c>
    </row>
    <row r="418">
      <c r="C418" t="str">
        <f>IFERROR(__xludf.DUMMYFUNCTION("AI(""The city that the University in the row beside resides in"")"),"I do not have enough information to answer the query. I am missing the university name from the row to determine its city.")</f>
        <v>I do not have enough information to answer the query. I am missing the university name from the row to determine its city.</v>
      </c>
      <c r="D418" t="b">
        <v>0</v>
      </c>
      <c r="E418" t="b">
        <v>0</v>
      </c>
      <c r="G418" t="b">
        <v>0</v>
      </c>
      <c r="H418" t="b">
        <v>0</v>
      </c>
    </row>
    <row r="419">
      <c r="C419" t="str">
        <f>IFERROR(__xludf.DUMMYFUNCTION("AI(""The city that the University in the row beside resides in"")"),"=AI(""The city that the University in the row beside resides in"")")</f>
        <v>=AI("The city that the University in the row beside resides in")</v>
      </c>
      <c r="D419" t="b">
        <v>0</v>
      </c>
      <c r="E419" t="b">
        <v>0</v>
      </c>
      <c r="G419" t="b">
        <v>0</v>
      </c>
      <c r="H419" t="b">
        <v>0</v>
      </c>
    </row>
    <row r="420">
      <c r="C420" t="str">
        <f>IFERROR(__xludf.DUMMYFUNCTION("AI(""The city that the University in the row beside resides in"")"),"I do not have enough information to answer the query. I am missing the university name for this row to determine the city it resides in.")</f>
        <v>I do not have enough information to answer the query. I am missing the university name for this row to determine the city it resides in.</v>
      </c>
      <c r="D420" t="b">
        <v>0</v>
      </c>
      <c r="E420" t="b">
        <v>0</v>
      </c>
      <c r="G420" t="b">
        <v>0</v>
      </c>
      <c r="H420" t="b">
        <v>0</v>
      </c>
    </row>
    <row r="421">
      <c r="C421" t="str">
        <f>IFERROR(__xludf.DUMMYFUNCTION("AI(""The city that the University in the row beside resides in"")"),"I do not have enough information to answer the query. I am missing the university name in the row beside (column B) to determine its city.")</f>
        <v>I do not have enough information to answer the query. I am missing the university name in the row beside (column B) to determine its city.</v>
      </c>
      <c r="D421" t="b">
        <v>0</v>
      </c>
      <c r="E421" t="b">
        <v>0</v>
      </c>
      <c r="G421" t="b">
        <v>0</v>
      </c>
      <c r="H421" t="b">
        <v>0</v>
      </c>
    </row>
    <row r="422">
      <c r="C422" t="str">
        <f>IFERROR(__xludf.DUMMYFUNCTION("AI(""The city that the University in the row beside resides in"")"),"=AI(""The city that the University in the row beside resides in"")")</f>
        <v>=AI("The city that the University in the row beside resides in")</v>
      </c>
      <c r="D422" t="b">
        <v>0</v>
      </c>
      <c r="E422" t="b">
        <v>0</v>
      </c>
      <c r="G422" t="b">
        <v>0</v>
      </c>
      <c r="H422" t="b">
        <v>0</v>
      </c>
    </row>
    <row r="423">
      <c r="C423" t="str">
        <f>IFERROR(__xludf.DUMMYFUNCTION("AI(""The city that the University in the row beside resides in"")"),"I do not have enough information to answer the query. I am missing the university name in row 423 to determine the city it resides in.")</f>
        <v>I do not have enough information to answer the query. I am missing the university name in row 423 to determine the city it resides in.</v>
      </c>
      <c r="D423" t="b">
        <v>0</v>
      </c>
      <c r="E423" t="b">
        <v>0</v>
      </c>
      <c r="G423" t="b">
        <v>0</v>
      </c>
      <c r="H423" t="b">
        <v>0</v>
      </c>
    </row>
    <row r="424">
      <c r="C424" t="str">
        <f>IFERROR(__xludf.DUMMYFUNCTION("AI(""The city that the University in the row beside resides in"")"),"=AI(""The city that the University in the row beside resides in"")")</f>
        <v>=AI("The city that the University in the row beside resides in")</v>
      </c>
      <c r="D424" t="b">
        <v>0</v>
      </c>
      <c r="E424" t="b">
        <v>0</v>
      </c>
      <c r="G424" t="b">
        <v>0</v>
      </c>
      <c r="H424" t="b">
        <v>0</v>
      </c>
    </row>
    <row r="425">
      <c r="C425" t="str">
        <f>IFERROR(__xludf.DUMMYFUNCTION("AI(""The city that the University in the row beside resides in"")"),"=AI(""The city that the University in the row beside resides in"")")</f>
        <v>=AI("The city that the University in the row beside resides in")</v>
      </c>
      <c r="D425" t="b">
        <v>0</v>
      </c>
      <c r="E425" t="b">
        <v>0</v>
      </c>
      <c r="G425" t="b">
        <v>0</v>
      </c>
      <c r="H425" t="b">
        <v>0</v>
      </c>
    </row>
    <row r="426">
      <c r="C426" t="str">
        <f>IFERROR(__xludf.DUMMYFUNCTION("AI(""The city that the University in the row beside resides in"")"),"I do not have enough information to answer the query because the university name for this row is not visible in the provided context.")</f>
        <v>I do not have enough information to answer the query because the university name for this row is not visible in the provided context.</v>
      </c>
      <c r="D426" t="b">
        <v>0</v>
      </c>
      <c r="E426" t="b">
        <v>0</v>
      </c>
      <c r="G426" t="b">
        <v>0</v>
      </c>
      <c r="H426" t="b">
        <v>0</v>
      </c>
    </row>
    <row r="427">
      <c r="C427" t="str">
        <f>IFERROR(__xludf.DUMMYFUNCTION("AI(""The city that the University in the row beside resides in"")"),"I do not have enough information to answer the query. I am missing the university name for this row to determine the city it resides in.")</f>
        <v>I do not have enough information to answer the query. I am missing the university name for this row to determine the city it resides in.</v>
      </c>
      <c r="D427" t="b">
        <v>0</v>
      </c>
      <c r="E427" t="b">
        <v>0</v>
      </c>
      <c r="G427" t="b">
        <v>0</v>
      </c>
      <c r="H427" t="b">
        <v>0</v>
      </c>
    </row>
    <row r="428">
      <c r="C428" t="str">
        <f>IFERROR(__xludf.DUMMYFUNCTION("AI(""The city that the University in the row beside resides in"")"),"I do not have enough information to answer the query. I am missing the university name for this row to determine the city it resides in.")</f>
        <v>I do not have enough information to answer the query. I am missing the university name for this row to determine the city it resides in.</v>
      </c>
      <c r="D428" t="b">
        <v>0</v>
      </c>
      <c r="E428" t="b">
        <v>0</v>
      </c>
      <c r="G428" t="b">
        <v>0</v>
      </c>
      <c r="H428" t="b">
        <v>0</v>
      </c>
    </row>
    <row r="429">
      <c r="C429" t="str">
        <f>IFERROR(__xludf.DUMMYFUNCTION("AI(""The city that the University in the row beside resides in"")"),"=AI(""The city that the University in the row beside resides in"")")</f>
        <v>=AI("The city that the University in the row beside resides in")</v>
      </c>
      <c r="D429" t="b">
        <v>0</v>
      </c>
      <c r="E429" t="b">
        <v>0</v>
      </c>
      <c r="G429" t="b">
        <v>0</v>
      </c>
      <c r="H429" t="b">
        <v>0</v>
      </c>
    </row>
    <row r="430">
      <c r="C430" t="str">
        <f>IFERROR(__xludf.DUMMYFUNCTION("AI(""The city that the University in the row beside resides in"")"),"I do not have enough information to provide the city because the university name for this row is missing from the provided context. Please include the university name column to get the correct city.")</f>
        <v>I do not have enough information to provide the city because the university name for this row is missing from the provided context. Please include the university name column to get the correct city.</v>
      </c>
      <c r="D430" t="b">
        <v>0</v>
      </c>
      <c r="E430" t="b">
        <v>0</v>
      </c>
      <c r="G430" t="b">
        <v>0</v>
      </c>
      <c r="H430" t="b">
        <v>0</v>
      </c>
    </row>
    <row r="431">
      <c r="C431" t="str">
        <f>IFERROR(__xludf.DUMMYFUNCTION("AI(""The city that the University in the row beside resides in"")"),"I do not have enough information to answer the query. The university name for this row is missing from the provided spreadsheet context, so I cannot determine the city it resides in.")</f>
        <v>I do not have enough information to answer the query. The university name for this row is missing from the provided spreadsheet context, so I cannot determine the city it resides in.</v>
      </c>
      <c r="D431" t="b">
        <v>0</v>
      </c>
      <c r="E431" t="b">
        <v>0</v>
      </c>
      <c r="G431" t="b">
        <v>0</v>
      </c>
      <c r="H431" t="b">
        <v>0</v>
      </c>
    </row>
    <row r="432">
      <c r="C432" t="str">
        <f>IFERROR(__xludf.DUMMYFUNCTION("AI(""The city that the University in the row beside resides in"")"),"=AI(""The city that the University in the row beside resides in"")")</f>
        <v>=AI("The city that the University in the row beside resides in")</v>
      </c>
      <c r="D432" t="b">
        <v>0</v>
      </c>
      <c r="E432" t="b">
        <v>0</v>
      </c>
      <c r="G432" t="b">
        <v>0</v>
      </c>
      <c r="H432" t="b">
        <v>0</v>
      </c>
    </row>
    <row r="433">
      <c r="C433" t="str">
        <f>IFERROR(__xludf.DUMMYFUNCTION("AI(""The city that the University in the row beside resides in"")"),"I do not have enough information to answer the query. I am missing the name of the university in row 433 to determine the city it resides in.")</f>
        <v>I do not have enough information to answer the query. I am missing the name of the university in row 433 to determine the city it resides in.</v>
      </c>
      <c r="D433" t="b">
        <v>0</v>
      </c>
      <c r="E433" t="b">
        <v>0</v>
      </c>
      <c r="G433" t="b">
        <v>0</v>
      </c>
      <c r="H433" t="b">
        <v>0</v>
      </c>
    </row>
    <row r="434">
      <c r="C434" t="str">
        <f>IFERROR(__xludf.DUMMYFUNCTION("AI(""The city that the University in the row beside resides in"")"),"I do not have enough information to answer the query because the university name for this row is missing from the provided spreadsheet context.")</f>
        <v>I do not have enough information to answer the query because the university name for this row is missing from the provided spreadsheet context.</v>
      </c>
      <c r="D434" t="b">
        <v>0</v>
      </c>
      <c r="E434" t="b">
        <v>0</v>
      </c>
      <c r="G434" t="b">
        <v>0</v>
      </c>
      <c r="H434" t="b">
        <v>0</v>
      </c>
    </row>
    <row r="435">
      <c r="C435" t="str">
        <f>IFERROR(__xludf.DUMMYFUNCTION("AI(""The city that the University in the row beside resides in"")"),"I do not have enough information to answer the query. I am missing the university name for row 435 to determine the city it resides in.")</f>
        <v>I do not have enough information to answer the query. I am missing the university name for row 435 to determine the city it resides in.</v>
      </c>
      <c r="D435" t="b">
        <v>0</v>
      </c>
      <c r="E435" t="b">
        <v>0</v>
      </c>
      <c r="G435" t="b">
        <v>0</v>
      </c>
      <c r="H435" t="b">
        <v>0</v>
      </c>
    </row>
    <row r="436">
      <c r="C436" t="str">
        <f>IFERROR(__xludf.DUMMYFUNCTION("AI(""The city that the University in the row beside resides in"")"),"I do not have enough information to answer the query. I am missing the university name for this row to determine the city it resides in.")</f>
        <v>I do not have enough information to answer the query. I am missing the university name for this row to determine the city it resides in.</v>
      </c>
      <c r="D436" t="b">
        <v>0</v>
      </c>
      <c r="E436" t="b">
        <v>0</v>
      </c>
      <c r="G436" t="b">
        <v>0</v>
      </c>
      <c r="H436" t="b">
        <v>0</v>
      </c>
    </row>
    <row r="437">
      <c r="C437" t="str">
        <f>IFERROR(__xludf.DUMMYFUNCTION("AI(""The city that the University in the row beside resides in"")"),"=AI(""The city that the University in the row beside resides in"")")</f>
        <v>=AI("The city that the University in the row beside resides in")</v>
      </c>
      <c r="D437" t="b">
        <v>0</v>
      </c>
      <c r="E437" t="b">
        <v>0</v>
      </c>
      <c r="G437" t="b">
        <v>0</v>
      </c>
      <c r="H437" t="b">
        <v>0</v>
      </c>
    </row>
    <row r="438">
      <c r="C438" t="str">
        <f>IFERROR(__xludf.DUMMYFUNCTION("AI(""The city that the University in the row beside resides in"")"),"=AI(""The city that the University in the row beside resides in"")")</f>
        <v>=AI("The city that the University in the row beside resides in")</v>
      </c>
      <c r="D438" t="b">
        <v>0</v>
      </c>
      <c r="E438" t="b">
        <v>0</v>
      </c>
      <c r="G438" t="b">
        <v>0</v>
      </c>
      <c r="H438" t="b">
        <v>0</v>
      </c>
    </row>
    <row r="439">
      <c r="C439" t="str">
        <f>IFERROR(__xludf.DUMMYFUNCTION("AI(""The city that the University in the row beside resides in"")"),"I do not have enough information to answer the query. I am missing the university name for this row to determine the city it resides in.")</f>
        <v>I do not have enough information to answer the query. I am missing the university name for this row to determine the city it resides in.</v>
      </c>
      <c r="D439" t="b">
        <v>0</v>
      </c>
      <c r="E439" t="b">
        <v>0</v>
      </c>
      <c r="G439" t="b">
        <v>0</v>
      </c>
      <c r="H439" t="b">
        <v>0</v>
      </c>
    </row>
    <row r="440">
      <c r="C440" t="str">
        <f>IFERROR(__xludf.DUMMYFUNCTION("AI(""The city that the University in the row beside resides in"")"),"=AI(""The city that the University in the row beside resides in"")")</f>
        <v>=AI("The city that the University in the row beside resides in")</v>
      </c>
      <c r="D440" t="b">
        <v>0</v>
      </c>
      <c r="E440" t="b">
        <v>0</v>
      </c>
      <c r="G440" t="b">
        <v>0</v>
      </c>
      <c r="H440" t="b">
        <v>0</v>
      </c>
    </row>
    <row r="441">
      <c r="C441" t="str">
        <f>IFERROR(__xludf.DUMMYFUNCTION("AI(""The city that the University in the row beside resides in"")"),"I do not have enough information to answer the query. I am missing the university name for this row to determine its city.")</f>
        <v>I do not have enough information to answer the query. I am missing the university name for this row to determine its city.</v>
      </c>
      <c r="D441" t="b">
        <v>0</v>
      </c>
      <c r="E441" t="b">
        <v>0</v>
      </c>
      <c r="G441" t="b">
        <v>0</v>
      </c>
      <c r="H441" t="b">
        <v>0</v>
      </c>
    </row>
    <row r="442">
      <c r="C442" t="str">
        <f>IFERROR(__xludf.DUMMYFUNCTION("AI(""The city that the University in the row beside resides in"")"),"=AI(""The city that the University in the row beside resides in"")")</f>
        <v>=AI("The city that the University in the row beside resides in")</v>
      </c>
      <c r="D442" t="b">
        <v>0</v>
      </c>
      <c r="E442" t="b">
        <v>0</v>
      </c>
      <c r="G442" t="b">
        <v>0</v>
      </c>
      <c r="H442" t="b">
        <v>0</v>
      </c>
    </row>
    <row r="443">
      <c r="C443" t="str">
        <f>IFERROR(__xludf.DUMMYFUNCTION("AI(""The city that the University in the row beside resides in"")"),"I do not have enough information to answer the query. I am missing the name of the university in row 443 to determine its city.")</f>
        <v>I do not have enough information to answer the query. I am missing the name of the university in row 443 to determine its city.</v>
      </c>
      <c r="D443" t="b">
        <v>0</v>
      </c>
      <c r="E443" t="b">
        <v>0</v>
      </c>
      <c r="G443" t="b">
        <v>0</v>
      </c>
      <c r="H443" t="b">
        <v>0</v>
      </c>
    </row>
    <row r="444">
      <c r="C444" t="str">
        <f>IFERROR(__xludf.DUMMYFUNCTION("AI(""The city that the University in the row beside resides in"")"),"=AI(""The city that the University in the row beside resides in"")")</f>
        <v>=AI("The city that the University in the row beside resides in")</v>
      </c>
      <c r="D444" t="b">
        <v>0</v>
      </c>
      <c r="E444" t="b">
        <v>0</v>
      </c>
      <c r="G444" t="b">
        <v>0</v>
      </c>
      <c r="H444" t="b">
        <v>0</v>
      </c>
    </row>
    <row r="445">
      <c r="C445" t="str">
        <f>IFERROR(__xludf.DUMMYFUNCTION("AI(""The city that the University in the row beside resides in"")"),"I do not have enough information to answer the query. I am missing the university name for row 445 to determine the city it resides in.")</f>
        <v>I do not have enough information to answer the query. I am missing the university name for row 445 to determine the city it resides in.</v>
      </c>
      <c r="D445" t="b">
        <v>0</v>
      </c>
      <c r="E445" t="b">
        <v>0</v>
      </c>
      <c r="G445" t="b">
        <v>0</v>
      </c>
      <c r="H445" t="b">
        <v>0</v>
      </c>
    </row>
    <row r="446">
      <c r="C446" t="str">
        <f>IFERROR(__xludf.DUMMYFUNCTION("AI(""The city that the University in the row beside resides in"")"),"=AI(""The city that the University in the row beside resides in"")")</f>
        <v>=AI("The city that the University in the row beside resides in")</v>
      </c>
      <c r="D446" t="b">
        <v>0</v>
      </c>
      <c r="E446" t="b">
        <v>0</v>
      </c>
      <c r="G446" t="b">
        <v>0</v>
      </c>
      <c r="H446" t="b">
        <v>0</v>
      </c>
    </row>
    <row r="447">
      <c r="C447" t="str">
        <f>IFERROR(__xludf.DUMMYFUNCTION("AI(""The city that the University in the row beside resides in"")"),"I do not have enough information to answer this query. I am missing the university name for this row to determine its city.")</f>
        <v>I do not have enough information to answer this query. I am missing the university name for this row to determine its city.</v>
      </c>
      <c r="D447" t="b">
        <v>0</v>
      </c>
      <c r="E447" t="b">
        <v>0</v>
      </c>
      <c r="G447" t="b">
        <v>0</v>
      </c>
      <c r="H447" t="b">
        <v>0</v>
      </c>
    </row>
    <row r="448">
      <c r="C448" t="str">
        <f>IFERROR(__xludf.DUMMYFUNCTION("AI(""The city that the University in the row beside resides in"")"),"I do not have enough information to answer the query because the university name for this row is missing from the provided context.")</f>
        <v>I do not have enough information to answer the query because the university name for this row is missing from the provided context.</v>
      </c>
      <c r="D448" t="b">
        <v>0</v>
      </c>
      <c r="E448" t="b">
        <v>0</v>
      </c>
      <c r="G448" t="b">
        <v>0</v>
      </c>
      <c r="H448" t="b">
        <v>0</v>
      </c>
    </row>
    <row r="449">
      <c r="C449" t="str">
        <f>IFERROR(__xludf.DUMMYFUNCTION("AI(""The city that the University in the row beside resides in"")"),"I do not have enough information to answer the query. I am missing the university name for this row to determine its city.")</f>
        <v>I do not have enough information to answer the query. I am missing the university name for this row to determine its city.</v>
      </c>
      <c r="D449" t="b">
        <v>0</v>
      </c>
      <c r="E449" t="b">
        <v>0</v>
      </c>
      <c r="G449" t="b">
        <v>0</v>
      </c>
      <c r="H449" t="b">
        <v>0</v>
      </c>
    </row>
    <row r="450">
      <c r="C450" t="str">
        <f>IFERROR(__xludf.DUMMYFUNCTION("AI(""The city that the University in the row beside resides in"")"),"I do not have enough information to determine the city because the university name for this row is missing from the provided context.")</f>
        <v>I do not have enough information to determine the city because the university name for this row is missing from the provided context.</v>
      </c>
      <c r="D450" t="b">
        <v>0</v>
      </c>
      <c r="E450" t="b">
        <v>0</v>
      </c>
      <c r="G450" t="b">
        <v>0</v>
      </c>
      <c r="H450" t="b">
        <v>0</v>
      </c>
    </row>
    <row r="451">
      <c r="C451" t="str">
        <f>IFERROR(__xludf.DUMMYFUNCTION("AI(""The city that the University in the row beside resides in"")"),"I do not have enough information to answer the query. I am missing the university name for this row (Column B) to determine which city it resides in.")</f>
        <v>I do not have enough information to answer the query. I am missing the university name for this row (Column B) to determine which city it resides in.</v>
      </c>
      <c r="D451" t="b">
        <v>0</v>
      </c>
      <c r="E451" t="b">
        <v>0</v>
      </c>
      <c r="G451" t="b">
        <v>0</v>
      </c>
      <c r="H451" t="b">
        <v>0</v>
      </c>
    </row>
    <row r="452">
      <c r="C452" t="str">
        <f>IFERROR(__xludf.DUMMYFUNCTION("AI(""The city that the University in the row beside resides in"")"),"=AI(""The city that the University in the row beside resides in"")")</f>
        <v>=AI("The city that the University in the row beside resides in")</v>
      </c>
      <c r="D452" t="b">
        <v>0</v>
      </c>
      <c r="E452" t="b">
        <v>0</v>
      </c>
      <c r="G452" t="b">
        <v>0</v>
      </c>
      <c r="H452" t="b">
        <v>0</v>
      </c>
    </row>
    <row r="453">
      <c r="C453" t="str">
        <f>IFERROR(__xludf.DUMMYFUNCTION("AI(""The city that the University in the row beside resides in"")"),"I do not have enough information to answer the query because the university name for this row is missing from the provided context.")</f>
        <v>I do not have enough information to answer the query because the university name for this row is missing from the provided context.</v>
      </c>
      <c r="D453" t="b">
        <v>0</v>
      </c>
      <c r="E453" t="b">
        <v>0</v>
      </c>
      <c r="G453" t="b">
        <v>0</v>
      </c>
      <c r="H453" t="b">
        <v>0</v>
      </c>
    </row>
    <row r="454">
      <c r="C454" t="str">
        <f>IFERROR(__xludf.DUMMYFUNCTION("AI(""The city that the University in the row beside resides in"")"),"Tilburg")</f>
        <v>Tilburg</v>
      </c>
      <c r="D454" t="b">
        <v>0</v>
      </c>
      <c r="E454" t="b">
        <v>0</v>
      </c>
      <c r="G454" t="b">
        <v>0</v>
      </c>
      <c r="H454" t="b">
        <v>0</v>
      </c>
    </row>
    <row r="455">
      <c r="C455" t="str">
        <f>IFERROR(__xludf.DUMMYFUNCTION("AI(""The city that the University in the row beside resides in"")"),"I do not have enough information to answer the query. I am missing the university name for this row to determine its city.")</f>
        <v>I do not have enough information to answer the query. I am missing the university name for this row to determine its city.</v>
      </c>
      <c r="D455" t="b">
        <v>0</v>
      </c>
      <c r="E455" t="b">
        <v>0</v>
      </c>
      <c r="G455" t="b">
        <v>0</v>
      </c>
      <c r="H455" t="b">
        <v>0</v>
      </c>
    </row>
    <row r="456">
      <c r="C456" t="str">
        <f>IFERROR(__xludf.DUMMYFUNCTION("AI(""The city that the University in the row beside resides in"")"),"=AI(""The city that the University in the row beside resides in"")")</f>
        <v>=AI("The city that the University in the row beside resides in")</v>
      </c>
      <c r="D456" t="b">
        <v>0</v>
      </c>
      <c r="E456" t="b">
        <v>0</v>
      </c>
      <c r="G456" t="b">
        <v>0</v>
      </c>
      <c r="H456" t="b">
        <v>0</v>
      </c>
    </row>
    <row r="457">
      <c r="C457" t="str">
        <f>IFERROR(__xludf.DUMMYFUNCTION("AI(""The city that the University in the row beside resides in"")"),"I do not have enough information to answer the query because the university name for this row is missing from the provided context.")</f>
        <v>I do not have enough information to answer the query because the university name for this row is missing from the provided context.</v>
      </c>
      <c r="D457" t="b">
        <v>0</v>
      </c>
      <c r="E457" t="b">
        <v>0</v>
      </c>
      <c r="G457" t="b">
        <v>0</v>
      </c>
      <c r="H457" t="b">
        <v>0</v>
      </c>
    </row>
    <row r="458">
      <c r="C458" t="str">
        <f>IFERROR(__xludf.DUMMYFUNCTION("AI(""The city that the University in the row beside resides in"")"),"I do not have enough information to answer the query. I am missing the university name for this row to determine its city.")</f>
        <v>I do not have enough information to answer the query. I am missing the university name for this row to determine its city.</v>
      </c>
      <c r="D458" t="b">
        <v>0</v>
      </c>
      <c r="E458" t="b">
        <v>0</v>
      </c>
      <c r="G458" t="b">
        <v>0</v>
      </c>
      <c r="H458" t="b">
        <v>0</v>
      </c>
    </row>
    <row r="459">
      <c r="C459" t="str">
        <f>IFERROR(__xludf.DUMMYFUNCTION("AI(""The city that the University in the row beside resides in"")"),"I do not have enough information to determine the city because the university name for this row is missing from the provided context.")</f>
        <v>I do not have enough information to determine the city because the university name for this row is missing from the provided context.</v>
      </c>
      <c r="D459" t="b">
        <v>0</v>
      </c>
      <c r="E459" t="b">
        <v>0</v>
      </c>
      <c r="G459" t="b">
        <v>0</v>
      </c>
      <c r="H459" t="b">
        <v>0</v>
      </c>
    </row>
    <row r="460">
      <c r="C460" t="str">
        <f>IFERROR(__xludf.DUMMYFUNCTION("AI(""The city that the University in the row beside resides in"")"),"=AI(""The city that the University in the row beside resides in"")")</f>
        <v>=AI("The city that the University in the row beside resides in")</v>
      </c>
      <c r="D460" t="b">
        <v>0</v>
      </c>
      <c r="E460" t="b">
        <v>0</v>
      </c>
      <c r="G460" t="b">
        <v>0</v>
      </c>
      <c r="H460" t="b">
        <v>0</v>
      </c>
    </row>
    <row r="461">
      <c r="C461" t="str">
        <f>IFERROR(__xludf.DUMMYFUNCTION("AI(""The city that the University in the row beside resides in"")"),"=AI(""The city that the University in the row beside resides in"")")</f>
        <v>=AI("The city that the University in the row beside resides in")</v>
      </c>
      <c r="D461" t="b">
        <v>0</v>
      </c>
      <c r="E461" t="b">
        <v>0</v>
      </c>
      <c r="G461" t="b">
        <v>0</v>
      </c>
      <c r="H461" t="b">
        <v>0</v>
      </c>
    </row>
    <row r="462">
      <c r="C462" t="str">
        <f>IFERROR(__xludf.DUMMYFUNCTION("AI(""The city that the University in the row beside resides in"")"),"I do not have enough information to determine the city because the university name in column B for this row is missing from the provided context.")</f>
        <v>I do not have enough information to determine the city because the university name in column B for this row is missing from the provided context.</v>
      </c>
      <c r="D462" t="b">
        <v>0</v>
      </c>
      <c r="E462" t="b">
        <v>0</v>
      </c>
      <c r="G462" t="b">
        <v>0</v>
      </c>
      <c r="H462" t="b">
        <v>0</v>
      </c>
    </row>
    <row r="463">
      <c r="C463" t="str">
        <f>IFERROR(__xludf.DUMMYFUNCTION("AI(""The city that the University in the row beside resides in"")"),"I do not have enough information to answer the query. I am missing the name of the university in row 463 to determine the city it resides in.")</f>
        <v>I do not have enough information to answer the query. I am missing the name of the university in row 463 to determine the city it resides in.</v>
      </c>
      <c r="D463" t="b">
        <v>0</v>
      </c>
      <c r="E463" t="b">
        <v>0</v>
      </c>
      <c r="G463" t="b">
        <v>0</v>
      </c>
      <c r="H463" t="b">
        <v>0</v>
      </c>
    </row>
    <row r="464">
      <c r="C464" t="str">
        <f>IFERROR(__xludf.DUMMYFUNCTION("AI(""The city that the University in the row beside resides in"")"),"I do not have enough information to answer the query. I am missing the university name for this row to determine the city it resides in.")</f>
        <v>I do not have enough information to answer the query. I am missing the university name for this row to determine the city it resides in.</v>
      </c>
      <c r="D464" t="b">
        <v>0</v>
      </c>
      <c r="E464" t="b">
        <v>0</v>
      </c>
      <c r="G464" t="b">
        <v>0</v>
      </c>
      <c r="H464" t="b">
        <v>0</v>
      </c>
    </row>
    <row r="465">
      <c r="C465" t="str">
        <f>IFERROR(__xludf.DUMMYFUNCTION("AI(""The city that the University in the row beside resides in"")"),"I do not have enough information to answer the query. I am missing the university name for this row (column B) to determine its city.")</f>
        <v>I do not have enough information to answer the query. I am missing the university name for this row (column B) to determine its city.</v>
      </c>
      <c r="D465" t="b">
        <v>0</v>
      </c>
      <c r="E465" t="b">
        <v>0</v>
      </c>
      <c r="G465" t="b">
        <v>0</v>
      </c>
      <c r="H465" t="b">
        <v>0</v>
      </c>
    </row>
    <row r="466">
      <c r="C466" t="str">
        <f>IFERROR(__xludf.DUMMYFUNCTION("AI(""The city that the University in the row beside resides in"")"),"I do not have enough information to answer the query. I am missing the university name for this row to determine its city.")</f>
        <v>I do not have enough information to answer the query. I am missing the university name for this row to determine its city.</v>
      </c>
      <c r="D466" t="b">
        <v>0</v>
      </c>
      <c r="E466" t="b">
        <v>0</v>
      </c>
      <c r="G466" t="b">
        <v>0</v>
      </c>
      <c r="H466" t="b">
        <v>0</v>
      </c>
    </row>
    <row r="467">
      <c r="C467" t="str">
        <f>IFERROR(__xludf.DUMMYFUNCTION("AI(""The city that the University in the row beside resides in"")"),"I do not have enough information to answer the query. I am missing the name of the university in row 467 to determine its city.")</f>
        <v>I do not have enough information to answer the query. I am missing the name of the university in row 467 to determine its city.</v>
      </c>
      <c r="D467" t="b">
        <v>0</v>
      </c>
      <c r="E467" t="b">
        <v>0</v>
      </c>
      <c r="G467" t="b">
        <v>0</v>
      </c>
      <c r="H467" t="b">
        <v>0</v>
      </c>
    </row>
    <row r="468">
      <c r="C468" t="str">
        <f>IFERROR(__xludf.DUMMYFUNCTION("AI(""The city that the University in the row beside resides in"")"),"=AI(""The city that the University in the row beside resides in"")")</f>
        <v>=AI("The city that the University in the row beside resides in")</v>
      </c>
      <c r="D468" t="b">
        <v>0</v>
      </c>
      <c r="E468" t="b">
        <v>0</v>
      </c>
      <c r="G468" t="b">
        <v>0</v>
      </c>
      <c r="H468" t="b">
        <v>0</v>
      </c>
    </row>
    <row r="469">
      <c r="C469" t="str">
        <f>IFERROR(__xludf.DUMMYFUNCTION("AI(""The city that the University in the row beside resides in"")"),"I do not have enough information to answer the query. I am missing the university name for this row to determine its city.")</f>
        <v>I do not have enough information to answer the query. I am missing the university name for this row to determine its city.</v>
      </c>
      <c r="D469" t="b">
        <v>0</v>
      </c>
      <c r="E469" t="b">
        <v>0</v>
      </c>
      <c r="G469" t="b">
        <v>0</v>
      </c>
      <c r="H469" t="b">
        <v>0</v>
      </c>
    </row>
    <row r="470">
      <c r="C470" t="str">
        <f>IFERROR(__xludf.DUMMYFUNCTION("AI(""The city that the University in the row beside resides in"")"),"=AI(""The city that the University in the row beside resides in"")")</f>
        <v>=AI("The city that the University in the row beside resides in")</v>
      </c>
      <c r="D470" t="b">
        <v>0</v>
      </c>
      <c r="E470" t="b">
        <v>0</v>
      </c>
      <c r="G470" t="b">
        <v>0</v>
      </c>
      <c r="H470" t="b">
        <v>0</v>
      </c>
    </row>
    <row r="471">
      <c r="C471" t="str">
        <f>IFERROR(__xludf.DUMMYFUNCTION("AI(""The city that the University in the row beside resides in"")"),"I do not have enough information to answer the query. I am missing the university name in column B (NLUniversityName) for this row to determine its city.")</f>
        <v>I do not have enough information to answer the query. I am missing the university name in column B (NLUniversityName) for this row to determine its city.</v>
      </c>
      <c r="D471" t="b">
        <v>0</v>
      </c>
      <c r="E471" t="b">
        <v>0</v>
      </c>
      <c r="G471" t="b">
        <v>0</v>
      </c>
      <c r="H471" t="b">
        <v>0</v>
      </c>
    </row>
    <row r="472">
      <c r="C472" t="str">
        <f>IFERROR(__xludf.DUMMYFUNCTION("AI(""The city that the University in the row beside resides in"")"),"I do not have enough information to answer the query. The university name for row 472 is missing from the provided context, which is required to determine the city.")</f>
        <v>I do not have enough information to answer the query. The university name for row 472 is missing from the provided context, which is required to determine the city.</v>
      </c>
      <c r="D472" t="b">
        <v>0</v>
      </c>
      <c r="E472" t="b">
        <v>0</v>
      </c>
      <c r="G472" t="b">
        <v>0</v>
      </c>
      <c r="H472" t="b">
        <v>0</v>
      </c>
    </row>
    <row r="473">
      <c r="C473" t="str">
        <f>IFERROR(__xludf.DUMMYFUNCTION("AI(""The city that the University in the row beside resides in"")"),"I do not have enough information to answer the query. I am missing the university name in column B for this row to determine the city it resides in.")</f>
        <v>I do not have enough information to answer the query. I am missing the university name in column B for this row to determine the city it resides in.</v>
      </c>
      <c r="D473" t="b">
        <v>0</v>
      </c>
      <c r="E473" t="b">
        <v>0</v>
      </c>
      <c r="G473" t="b">
        <v>0</v>
      </c>
      <c r="H473" t="b">
        <v>0</v>
      </c>
    </row>
    <row r="474">
      <c r="C474" t="str">
        <f>IFERROR(__xludf.DUMMYFUNCTION("AI(""The city that the University in the row beside resides in"")"),"I do not have enough information to determine the city because the university name in the row beside is missing from the provided context.")</f>
        <v>I do not have enough information to determine the city because the university name in the row beside is missing from the provided context.</v>
      </c>
      <c r="D474" t="b">
        <v>0</v>
      </c>
      <c r="E474" t="b">
        <v>0</v>
      </c>
      <c r="G474" t="b">
        <v>0</v>
      </c>
      <c r="H474" t="b">
        <v>0</v>
      </c>
    </row>
    <row r="475">
      <c r="C475" t="str">
        <f>IFERROR(__xludf.DUMMYFUNCTION("AI(""The city that the University in the row beside resides in"")"),"I do not have enough information to answer the query. The university name for this row is missing from the provided context, which is needed to determine the city.")</f>
        <v>I do not have enough information to answer the query. The university name for this row is missing from the provided context, which is needed to determine the city.</v>
      </c>
      <c r="D475" t="b">
        <v>0</v>
      </c>
      <c r="E475" t="b">
        <v>0</v>
      </c>
      <c r="G475" t="b">
        <v>0</v>
      </c>
      <c r="H475" t="b">
        <v>0</v>
      </c>
    </row>
    <row r="476">
      <c r="C476" t="str">
        <f>IFERROR(__xludf.DUMMYFUNCTION("AI(""The city that the University in the row beside resides in"")"),"I do not have enough information to answer the query. I am missing the university name for this row to determine its city.")</f>
        <v>I do not have enough information to answer the query. I am missing the university name for this row to determine its city.</v>
      </c>
      <c r="D476" t="b">
        <v>0</v>
      </c>
      <c r="E476" t="b">
        <v>0</v>
      </c>
      <c r="G476" t="b">
        <v>0</v>
      </c>
      <c r="H476" t="b">
        <v>0</v>
      </c>
    </row>
    <row r="477">
      <c r="C477" t="str">
        <f>IFERROR(__xludf.DUMMYFUNCTION("AI(""The city that the University in the row beside resides in"")"),"I do not have enough information to answer the query. I am missing the university name for this row to determine the city it resides in.")</f>
        <v>I do not have enough information to answer the query. I am missing the university name for this row to determine the city it resides in.</v>
      </c>
      <c r="D477" t="b">
        <v>0</v>
      </c>
      <c r="E477" t="b">
        <v>0</v>
      </c>
      <c r="G477" t="b">
        <v>0</v>
      </c>
      <c r="H477" t="b">
        <v>0</v>
      </c>
    </row>
    <row r="478">
      <c r="C478" t="str">
        <f>IFERROR(__xludf.DUMMYFUNCTION("AI(""The city that the University in the row beside resides in"")"),"I do not have enough information to answer the query. The name of the university for this row is missing from the provided spreadsheet context.")</f>
        <v>I do not have enough information to answer the query. The name of the university for this row is missing from the provided spreadsheet context.</v>
      </c>
      <c r="D478" t="b">
        <v>0</v>
      </c>
      <c r="E478" t="b">
        <v>0</v>
      </c>
      <c r="G478" t="b">
        <v>0</v>
      </c>
      <c r="H478" t="b">
        <v>0</v>
      </c>
    </row>
    <row r="479">
      <c r="C479" t="str">
        <f>IFERROR(__xludf.DUMMYFUNCTION("AI(""The city that the University in the row beside resides in"")"),"I do not have enough information to answer the query because the university name for this row is missing from the provided context.")</f>
        <v>I do not have enough information to answer the query because the university name for this row is missing from the provided context.</v>
      </c>
      <c r="D479" t="b">
        <v>0</v>
      </c>
      <c r="E479" t="b">
        <v>0</v>
      </c>
      <c r="G479" t="b">
        <v>0</v>
      </c>
      <c r="H479" t="b">
        <v>0</v>
      </c>
    </row>
    <row r="480">
      <c r="C480" t="str">
        <f>IFERROR(__xludf.DUMMYFUNCTION("AI(""The city that the University in the row beside resides in"")"),"I do not have enough information to answer the query. I am missing the university name for this row to determine its city.")</f>
        <v>I do not have enough information to answer the query. I am missing the university name for this row to determine its city.</v>
      </c>
      <c r="D480" t="b">
        <v>0</v>
      </c>
      <c r="E480" t="b">
        <v>0</v>
      </c>
      <c r="G480" t="b">
        <v>0</v>
      </c>
      <c r="H480" t="b">
        <v>0</v>
      </c>
    </row>
    <row r="481">
      <c r="C481" t="str">
        <f>IFERROR(__xludf.DUMMYFUNCTION("AI(""The city that the University in the row beside resides in"")"),"=AI(""The city that the University in the row beside resides in"")")</f>
        <v>=AI("The city that the University in the row beside resides in")</v>
      </c>
      <c r="D481" t="b">
        <v>0</v>
      </c>
      <c r="E481" t="b">
        <v>0</v>
      </c>
      <c r="G481" t="b">
        <v>0</v>
      </c>
      <c r="H481" t="b">
        <v>0</v>
      </c>
    </row>
    <row r="482">
      <c r="C482" t="str">
        <f>IFERROR(__xludf.DUMMYFUNCTION("AI(""The city that the University in the row beside resides in"")"),"I do not have enough information to determine the city because the university name for this row is not provided in the context.")</f>
        <v>I do not have enough information to determine the city because the university name for this row is not provided in the context.</v>
      </c>
      <c r="D482" t="b">
        <v>0</v>
      </c>
      <c r="E482" t="b">
        <v>0</v>
      </c>
      <c r="G482" t="b">
        <v>0</v>
      </c>
      <c r="H482" t="b">
        <v>0</v>
      </c>
    </row>
    <row r="483">
      <c r="C483" t="str">
        <f>IFERROR(__xludf.DUMMYFUNCTION("AI(""The city that the University in the row beside resides in"")"),"I do not have enough information to determine the city because the university name for this row is missing from the provided context.")</f>
        <v>I do not have enough information to determine the city because the university name for this row is missing from the provided context.</v>
      </c>
      <c r="D483" t="b">
        <v>0</v>
      </c>
      <c r="E483" t="b">
        <v>0</v>
      </c>
      <c r="G483" t="b">
        <v>0</v>
      </c>
      <c r="H483" t="b">
        <v>0</v>
      </c>
    </row>
    <row r="484">
      <c r="C484" t="str">
        <f>IFERROR(__xludf.DUMMYFUNCTION("AI(""The city that the University in the row beside resides in"")"),"I do not have enough information to answer the query. The name of the university for this row is missing from the provided data.")</f>
        <v>I do not have enough information to answer the query. The name of the university for this row is missing from the provided data.</v>
      </c>
      <c r="D484" t="b">
        <v>0</v>
      </c>
      <c r="E484" t="b">
        <v>0</v>
      </c>
      <c r="G484" t="b">
        <v>0</v>
      </c>
      <c r="H484" t="b">
        <v>0</v>
      </c>
    </row>
    <row r="485">
      <c r="C485" t="str">
        <f>IFERROR(__xludf.DUMMYFUNCTION("AI(""The city that the University in the row beside resides in"")"),"I do not have enough information to determine the city because the university name for this row is not visible in the provided context. Please ensure the university name column is included.")</f>
        <v>I do not have enough information to determine the city because the university name for this row is not visible in the provided context. Please ensure the university name column is included.</v>
      </c>
      <c r="D485" t="b">
        <v>0</v>
      </c>
      <c r="E485" t="b">
        <v>0</v>
      </c>
      <c r="G485" t="b">
        <v>0</v>
      </c>
      <c r="H485" t="b">
        <v>0</v>
      </c>
    </row>
    <row r="486">
      <c r="C486" t="str">
        <f>IFERROR(__xludf.DUMMYFUNCTION("AI(""The city that the University in the row beside resides in"")"),"I do not have enough information to answer the query. I am missing the name of the university in row 486 to determine its city.")</f>
        <v>I do not have enough information to answer the query. I am missing the name of the university in row 486 to determine its city.</v>
      </c>
      <c r="D486" t="b">
        <v>0</v>
      </c>
      <c r="E486" t="b">
        <v>0</v>
      </c>
      <c r="G486" t="b">
        <v>0</v>
      </c>
      <c r="H486" t="b">
        <v>0</v>
      </c>
    </row>
    <row r="487">
      <c r="C487" t="str">
        <f>IFERROR(__xludf.DUMMYFUNCTION("AI(""The city that the University in the row beside resides in"")"),"I do not have enough information to answer the query. I am missing the university name for this row to determine its city.")</f>
        <v>I do not have enough information to answer the query. I am missing the university name for this row to determine its city.</v>
      </c>
      <c r="D487" t="b">
        <v>0</v>
      </c>
      <c r="E487" t="b">
        <v>0</v>
      </c>
      <c r="G487" t="b">
        <v>0</v>
      </c>
      <c r="H487" t="b">
        <v>0</v>
      </c>
    </row>
    <row r="488">
      <c r="C488" t="str">
        <f>IFERROR(__xludf.DUMMYFUNCTION("AI(""The city that the University in the row beside resides in"")"),"=AI(""The city that the University in the row beside resides in"")")</f>
        <v>=AI("The city that the University in the row beside resides in")</v>
      </c>
      <c r="D488" t="b">
        <v>0</v>
      </c>
      <c r="E488" t="b">
        <v>0</v>
      </c>
      <c r="G488" t="b">
        <v>0</v>
      </c>
      <c r="H488" t="b">
        <v>0</v>
      </c>
    </row>
    <row r="489">
      <c r="C489" t="str">
        <f>IFERROR(__xludf.DUMMYFUNCTION("AI(""The city that the University in the row beside resides in"")"),"I do not have enough information to answer the query. I am missing the university name for this row to determine the city it resides in.")</f>
        <v>I do not have enough information to answer the query. I am missing the university name for this row to determine the city it resides in.</v>
      </c>
      <c r="D489" t="b">
        <v>0</v>
      </c>
      <c r="E489" t="b">
        <v>0</v>
      </c>
      <c r="G489" t="b">
        <v>0</v>
      </c>
      <c r="H489" t="b">
        <v>0</v>
      </c>
    </row>
    <row r="490">
      <c r="C490" t="str">
        <f>IFERROR(__xludf.DUMMYFUNCTION("AI(""The city that the University in the row beside resides in"")"),"=AI(""The city that the University in the row beside resides in"")")</f>
        <v>=AI("The city that the University in the row beside resides in")</v>
      </c>
      <c r="D490" t="b">
        <v>0</v>
      </c>
      <c r="E490" t="b">
        <v>0</v>
      </c>
      <c r="G490" t="b">
        <v>0</v>
      </c>
      <c r="H490" t="b">
        <v>0</v>
      </c>
    </row>
    <row r="491">
      <c r="C491" t="str">
        <f>IFERROR(__xludf.DUMMYFUNCTION("AI(""The city that the University in the row beside resides in"")"),"I do not have enough information to answer the query. I am missing the name of the university in the row beside to determine its city.")</f>
        <v>I do not have enough information to answer the query. I am missing the name of the university in the row beside to determine its city.</v>
      </c>
      <c r="D491" t="b">
        <v>0</v>
      </c>
      <c r="E491" t="b">
        <v>0</v>
      </c>
      <c r="G491" t="b">
        <v>0</v>
      </c>
      <c r="H491" t="b">
        <v>0</v>
      </c>
    </row>
    <row r="492">
      <c r="C492" t="str">
        <f>IFERROR(__xludf.DUMMYFUNCTION("AI(""The city that the University in the row beside resides in"")"),"=AI(""The city that the University in the row beside resides in"")")</f>
        <v>=AI("The city that the University in the row beside resides in")</v>
      </c>
      <c r="D492" t="b">
        <v>0</v>
      </c>
      <c r="E492" t="b">
        <v>0</v>
      </c>
      <c r="G492" t="b">
        <v>0</v>
      </c>
      <c r="H492" t="b">
        <v>0</v>
      </c>
    </row>
    <row r="493">
      <c r="C493" t="str">
        <f>IFERROR(__xludf.DUMMYFUNCTION("AI(""The city that the University in the row beside resides in"")"),"=AI(""The city that the University in the row beside resides in"")")</f>
        <v>=AI("The city that the University in the row beside resides in")</v>
      </c>
      <c r="D493" t="b">
        <v>0</v>
      </c>
      <c r="E493" t="b">
        <v>0</v>
      </c>
      <c r="G493" t="b">
        <v>0</v>
      </c>
      <c r="H493" t="b">
        <v>0</v>
      </c>
    </row>
    <row r="494">
      <c r="C494" t="str">
        <f>IFERROR(__xludf.DUMMYFUNCTION("AI(""The city that the University in the row beside resides in"")"),"I do not have enough information to answer the query. I am missing the name of the university for this row to determine its city.")</f>
        <v>I do not have enough information to answer the query. I am missing the name of the university for this row to determine its city.</v>
      </c>
      <c r="D494" t="b">
        <v>0</v>
      </c>
      <c r="E494" t="b">
        <v>0</v>
      </c>
      <c r="G494" t="b">
        <v>0</v>
      </c>
      <c r="H494" t="b">
        <v>0</v>
      </c>
    </row>
    <row r="495">
      <c r="C495" t="str">
        <f>IFERROR(__xludf.DUMMYFUNCTION("AI(""The city that the University in the row beside resides in"")"),"I do not have enough information to answer the query because the university name for this row is missing from the provided text.")</f>
        <v>I do not have enough information to answer the query because the university name for this row is missing from the provided text.</v>
      </c>
      <c r="D495" t="b">
        <v>0</v>
      </c>
      <c r="E495" t="b">
        <v>0</v>
      </c>
      <c r="G495" t="b">
        <v>0</v>
      </c>
      <c r="H495" t="b">
        <v>0</v>
      </c>
    </row>
    <row r="496">
      <c r="C496" t="str">
        <f>IFERROR(__xludf.DUMMYFUNCTION("AI(""The city that the University in the row beside resides in"")"),"=AI(""The city that the University in the row beside resides in"")")</f>
        <v>=AI("The city that the University in the row beside resides in")</v>
      </c>
      <c r="D496" t="b">
        <v>0</v>
      </c>
      <c r="E496" t="b">
        <v>0</v>
      </c>
      <c r="G496" t="b">
        <v>0</v>
      </c>
      <c r="H496" t="b">
        <v>0</v>
      </c>
    </row>
    <row r="497">
      <c r="C497" t="str">
        <f>IFERROR(__xludf.DUMMYFUNCTION("AI(""The city that the University in the row beside resides in"")"),"I do not have enough information to answer the query. I am missing the university name from column B in row 497 to determine which city it resides in.")</f>
        <v>I do not have enough information to answer the query. I am missing the university name from column B in row 497 to determine which city it resides in.</v>
      </c>
      <c r="D497" t="b">
        <v>0</v>
      </c>
      <c r="E497" t="b">
        <v>0</v>
      </c>
      <c r="G497" t="b">
        <v>0</v>
      </c>
      <c r="H497" t="b">
        <v>0</v>
      </c>
    </row>
    <row r="498">
      <c r="C498" t="str">
        <f>IFERROR(__xludf.DUMMYFUNCTION("AI(""The city that the University in the row beside resides in"")"),"=AI(""The city that the University in the row beside resides in"")")</f>
        <v>=AI("The city that the University in the row beside resides in")</v>
      </c>
      <c r="D498" t="b">
        <v>0</v>
      </c>
      <c r="E498" t="b">
        <v>0</v>
      </c>
      <c r="G498" t="b">
        <v>0</v>
      </c>
      <c r="H498" t="b">
        <v>0</v>
      </c>
    </row>
    <row r="499">
      <c r="C499" t="str">
        <f>IFERROR(__xludf.DUMMYFUNCTION("AI(""The city that the University in the row beside resides in"")"),"I do not have enough information to answer the query. I am missing the university name in row 499 to determine its city.")</f>
        <v>I do not have enough information to answer the query. I am missing the university name in row 499 to determine its city.</v>
      </c>
      <c r="D499" t="b">
        <v>0</v>
      </c>
      <c r="E499" t="b">
        <v>0</v>
      </c>
      <c r="G499" t="b">
        <v>0</v>
      </c>
      <c r="H499" t="b">
        <v>0</v>
      </c>
    </row>
    <row r="500">
      <c r="C500" t="str">
        <f>IFERROR(__xludf.DUMMYFUNCTION("AI(""The city that the University in the row beside resides in"")"),"=AI(""The city that the University in the row beside resides in"")")</f>
        <v>=AI("The city that the University in the row beside resides in")</v>
      </c>
      <c r="D500" t="b">
        <v>0</v>
      </c>
      <c r="E500" t="b">
        <v>0</v>
      </c>
      <c r="G500" t="b">
        <v>0</v>
      </c>
      <c r="H500" t="b">
        <v>0</v>
      </c>
    </row>
    <row r="501">
      <c r="C501" t="str">
        <f>IFERROR(__xludf.DUMMYFUNCTION("AI(""The city that the University in the row beside resides in"")"),"I do not have enough information to answer the query. I am missing the name of the university in this row to determine its city.")</f>
        <v>I do not have enough information to answer the query. I am missing the name of the university in this row to determine its city.</v>
      </c>
      <c r="D501" t="b">
        <v>0</v>
      </c>
      <c r="E501" t="b">
        <v>0</v>
      </c>
      <c r="G501" t="b">
        <v>0</v>
      </c>
      <c r="H501" t="b">
        <v>0</v>
      </c>
    </row>
    <row r="502">
      <c r="C502" t="str">
        <f>IFERROR(__xludf.DUMMYFUNCTION("AI(""The city that the University in the row beside resides in"")"),"=AI(""The city that the University in the row beside resides in"")")</f>
        <v>=AI("The city that the University in the row beside resides in")</v>
      </c>
      <c r="D502" t="b">
        <v>0</v>
      </c>
      <c r="E502" t="b">
        <v>0</v>
      </c>
      <c r="G502" t="b">
        <v>0</v>
      </c>
      <c r="H502" t="b">
        <v>0</v>
      </c>
    </row>
    <row r="503">
      <c r="C503" t="str">
        <f>IFERROR(__xludf.DUMMYFUNCTION("AI(""The city that the University in the row beside resides in"")"),"I do not have enough information to determine the city because the university name for this row is missing from the provided context. Please ensure the university name column is included.")</f>
        <v>I do not have enough information to determine the city because the university name for this row is missing from the provided context. Please ensure the university name column is included.</v>
      </c>
      <c r="D503" t="b">
        <v>0</v>
      </c>
      <c r="E503" t="b">
        <v>0</v>
      </c>
      <c r="G503" t="b">
        <v>0</v>
      </c>
      <c r="H503" t="b">
        <v>0</v>
      </c>
    </row>
    <row r="504">
      <c r="C504" t="str">
        <f>IFERROR(__xludf.DUMMYFUNCTION("AI(""The city that the University in the row beside resides in"")"),"I do not have enough information to answer the query. I am missing the name of the university in row 504 to determine its city.")</f>
        <v>I do not have enough information to answer the query. I am missing the name of the university in row 504 to determine its city.</v>
      </c>
      <c r="D504" t="b">
        <v>0</v>
      </c>
      <c r="E504" t="b">
        <v>0</v>
      </c>
      <c r="G504" t="b">
        <v>0</v>
      </c>
      <c r="H504" t="b">
        <v>0</v>
      </c>
    </row>
    <row r="505">
      <c r="C505" t="str">
        <f>IFERROR(__xludf.DUMMYFUNCTION("AI(""The city that the University in the row beside resides in"")"),"I do not have enough information to answer the query. I am missing the university name for this row to determine the city it resides in.")</f>
        <v>I do not have enough information to answer the query. I am missing the university name for this row to determine the city it resides in.</v>
      </c>
      <c r="D505" t="b">
        <v>0</v>
      </c>
      <c r="E505" t="b">
        <v>0</v>
      </c>
      <c r="G505" t="b">
        <v>0</v>
      </c>
      <c r="H505" t="b">
        <v>0</v>
      </c>
    </row>
    <row r="506">
      <c r="C506" t="str">
        <f>IFERROR(__xludf.DUMMYFUNCTION("AI(""The city that the University in the row beside resides in"")"),"I do not have enough information to answer the query because the university name for this row is missing from the provided context.")</f>
        <v>I do not have enough information to answer the query because the university name for this row is missing from the provided context.</v>
      </c>
      <c r="D506" t="b">
        <v>0</v>
      </c>
      <c r="E506" t="b">
        <v>0</v>
      </c>
      <c r="G506" t="b">
        <v>0</v>
      </c>
      <c r="H506" t="b">
        <v>0</v>
      </c>
    </row>
    <row r="507">
      <c r="C507" t="str">
        <f>IFERROR(__xludf.DUMMYFUNCTION("AI(""The city that the University in the row beside resides in"")"),"I do not have enough information to answer the query. I am missing the university name in column B for row 507 to determine the city it resides in.")</f>
        <v>I do not have enough information to answer the query. I am missing the university name in column B for row 507 to determine the city it resides in.</v>
      </c>
      <c r="D507" t="b">
        <v>0</v>
      </c>
      <c r="E507" t="b">
        <v>0</v>
      </c>
      <c r="G507" t="b">
        <v>0</v>
      </c>
      <c r="H507" t="b">
        <v>0</v>
      </c>
    </row>
    <row r="508">
      <c r="C508" t="str">
        <f>IFERROR(__xludf.DUMMYFUNCTION("AI(""The city that the University in the row beside resides in"")"),"I do not have enough information to answer the query. I am missing the university name for this row to determine the city.")</f>
        <v>I do not have enough information to answer the query. I am missing the university name for this row to determine the city.</v>
      </c>
      <c r="D508" t="b">
        <v>0</v>
      </c>
      <c r="E508" t="b">
        <v>0</v>
      </c>
      <c r="G508" t="b">
        <v>0</v>
      </c>
      <c r="H508" t="b">
        <v>0</v>
      </c>
    </row>
    <row r="509">
      <c r="C509" t="str">
        <f>IFERROR(__xludf.DUMMYFUNCTION("AI(""The city that the University in the row beside resides in"")"),"I do not have enough information to determine the city because the university name for this row is missing from the provided context. Please include the university name column in your selection.")</f>
        <v>I do not have enough information to determine the city because the university name for this row is missing from the provided context. Please include the university name column in your selection.</v>
      </c>
      <c r="D509" t="b">
        <v>0</v>
      </c>
      <c r="E509" t="b">
        <v>0</v>
      </c>
      <c r="G509" t="b">
        <v>0</v>
      </c>
      <c r="H509" t="b">
        <v>0</v>
      </c>
    </row>
    <row r="510">
      <c r="C510" t="str">
        <f>IFERROR(__xludf.DUMMYFUNCTION("AI(""The city that the University in the row beside resides in"")"),"=AI(""The city that the University in the row beside resides in"")")</f>
        <v>=AI("The city that the University in the row beside resides in")</v>
      </c>
      <c r="D510" t="b">
        <v>0</v>
      </c>
      <c r="E510" t="b">
        <v>0</v>
      </c>
      <c r="G510" t="b">
        <v>0</v>
      </c>
      <c r="H510" t="b">
        <v>0</v>
      </c>
    </row>
    <row r="511">
      <c r="C511" t="str">
        <f>IFERROR(__xludf.DUMMYFUNCTION("AI(""The city that the University in the row beside resides in"")"),"I do not have enough information to determine the city because the university name for this row is missing from the provided context.")</f>
        <v>I do not have enough information to determine the city because the university name for this row is missing from the provided context.</v>
      </c>
      <c r="D511" t="b">
        <v>0</v>
      </c>
      <c r="E511" t="b">
        <v>0</v>
      </c>
      <c r="G511" t="b">
        <v>0</v>
      </c>
      <c r="H511" t="b">
        <v>0</v>
      </c>
    </row>
    <row r="512">
      <c r="C512" t="str">
        <f>IFERROR(__xludf.DUMMYFUNCTION("AI(""The city that the University in the row beside resides in"")"),"=AI(""The city that the University in the row beside resides in"")")</f>
        <v>=AI("The city that the University in the row beside resides in")</v>
      </c>
      <c r="D512" t="b">
        <v>0</v>
      </c>
      <c r="E512" t="b">
        <v>0</v>
      </c>
      <c r="G512" t="b">
        <v>0</v>
      </c>
      <c r="H512" t="b">
        <v>0</v>
      </c>
    </row>
    <row r="513">
      <c r="C513" t="str">
        <f>IFERROR(__xludf.DUMMYFUNCTION("AI(""The city that the University in the row beside resides in"")"),"I do not have enough information to answer the query. I am missing the university name for this row to determine the city it resides in.")</f>
        <v>I do not have enough information to answer the query. I am missing the university name for this row to determine the city it resides in.</v>
      </c>
      <c r="D513" t="b">
        <v>0</v>
      </c>
      <c r="E513" t="b">
        <v>0</v>
      </c>
      <c r="G513" t="b">
        <v>0</v>
      </c>
      <c r="H513" t="b">
        <v>0</v>
      </c>
    </row>
    <row r="514">
      <c r="C514" t="str">
        <f>IFERROR(__xludf.DUMMYFUNCTION("AI(""The city that the University in the row beside resides in"")"),"I do not have enough information to answer the query. I am missing the university name for this row to determine the city it resides in.")</f>
        <v>I do not have enough information to answer the query. I am missing the university name for this row to determine the city it resides in.</v>
      </c>
      <c r="D514" t="b">
        <v>0</v>
      </c>
      <c r="E514" t="b">
        <v>0</v>
      </c>
      <c r="G514" t="b">
        <v>0</v>
      </c>
      <c r="H514" t="b">
        <v>0</v>
      </c>
    </row>
    <row r="515">
      <c r="C515" t="str">
        <f>IFERROR(__xludf.DUMMYFUNCTION("AI(""The city that the University in the row beside resides in"")"),"I do not have enough information to answer the query. I am missing the name of the university in the row beside this cell to determine its city.")</f>
        <v>I do not have enough information to answer the query. I am missing the name of the university in the row beside this cell to determine its city.</v>
      </c>
      <c r="D515" t="b">
        <v>0</v>
      </c>
      <c r="E515" t="b">
        <v>0</v>
      </c>
      <c r="G515" t="b">
        <v>0</v>
      </c>
      <c r="H515" t="b">
        <v>0</v>
      </c>
    </row>
    <row r="516">
      <c r="C516" t="str">
        <f>IFERROR(__xludf.DUMMYFUNCTION("AI(""The city that the University in the row beside resides in"")"),"I do not have enough information to answer the query. I am missing the university name in the row beside to determine the city.")</f>
        <v>I do not have enough information to answer the query. I am missing the university name in the row beside to determine the city.</v>
      </c>
      <c r="D516" t="b">
        <v>0</v>
      </c>
      <c r="E516" t="b">
        <v>0</v>
      </c>
      <c r="G516" t="b">
        <v>0</v>
      </c>
      <c r="H516" t="b">
        <v>0</v>
      </c>
    </row>
    <row r="517">
      <c r="C517" t="str">
        <f>IFERROR(__xludf.DUMMYFUNCTION("AI(""The city that the University in the row beside resides in"")"),"I do not have enough information to answer the query. I am missing the name of the university in row 517 to determine its city.")</f>
        <v>I do not have enough information to answer the query. I am missing the name of the university in row 517 to determine its city.</v>
      </c>
      <c r="D517" t="b">
        <v>0</v>
      </c>
      <c r="E517" t="b">
        <v>0</v>
      </c>
      <c r="G517" t="b">
        <v>0</v>
      </c>
      <c r="H517" t="b">
        <v>0</v>
      </c>
    </row>
    <row r="518">
      <c r="C518" t="str">
        <f>IFERROR(__xludf.DUMMYFUNCTION("AI(""The city that the University in the row beside resides in"")"),"I do not have enough information to provide the city because the university name for this row is missing from the provided text context.")</f>
        <v>I do not have enough information to provide the city because the university name for this row is missing from the provided text context.</v>
      </c>
      <c r="D518" t="b">
        <v>0</v>
      </c>
      <c r="E518" t="b">
        <v>0</v>
      </c>
      <c r="G518" t="b">
        <v>0</v>
      </c>
      <c r="H518" t="b">
        <v>0</v>
      </c>
    </row>
    <row r="519">
      <c r="C519" t="str">
        <f>IFERROR(__xludf.DUMMYFUNCTION("AI(""The city that the University in the row beside resides in"")"),"=AI(""The city that the University in the row beside resides in"")")</f>
        <v>=AI("The city that the University in the row beside resides in")</v>
      </c>
      <c r="D519" t="b">
        <v>0</v>
      </c>
      <c r="E519" t="b">
        <v>0</v>
      </c>
      <c r="G519" t="b">
        <v>0</v>
      </c>
      <c r="H519" t="b">
        <v>0</v>
      </c>
    </row>
    <row r="520">
      <c r="C520" t="str">
        <f>IFERROR(__xludf.DUMMYFUNCTION("AI(""The city that the University in the row beside resides in"")"),"I do not have enough information to determine the city because the university name for this row is missing from the provided context. Please provide the university name in column B.")</f>
        <v>I do not have enough information to determine the city because the university name for this row is missing from the provided context. Please provide the university name in column B.</v>
      </c>
      <c r="D520" t="b">
        <v>0</v>
      </c>
      <c r="E520" t="b">
        <v>0</v>
      </c>
      <c r="G520" t="b">
        <v>0</v>
      </c>
      <c r="H520" t="b">
        <v>0</v>
      </c>
    </row>
    <row r="521">
      <c r="C521" t="str">
        <f>IFERROR(__xludf.DUMMYFUNCTION("AI(""The city that the University in the row beside resides in"")"),"I do not have enough information to answer the query. I am missing the name of the university in row 521 to determine its city.")</f>
        <v>I do not have enough information to answer the query. I am missing the name of the university in row 521 to determine its city.</v>
      </c>
      <c r="D521" t="b">
        <v>0</v>
      </c>
      <c r="E521" t="b">
        <v>0</v>
      </c>
      <c r="G521" t="b">
        <v>0</v>
      </c>
      <c r="H521" t="b">
        <v>0</v>
      </c>
    </row>
    <row r="522">
      <c r="C522" t="str">
        <f>IFERROR(__xludf.DUMMYFUNCTION("AI(""The city that the University in the row beside resides in"")"),"I do not have enough information to answer the query. The university name in the row beside is missing from the provided context. Please ensure the university name column is filled or included.")</f>
        <v>I do not have enough information to answer the query. The university name in the row beside is missing from the provided context. Please ensure the university name column is filled or included.</v>
      </c>
      <c r="D522" t="b">
        <v>0</v>
      </c>
      <c r="E522" t="b">
        <v>0</v>
      </c>
      <c r="G522" t="b">
        <v>0</v>
      </c>
      <c r="H522" t="b">
        <v>0</v>
      </c>
    </row>
    <row r="523">
      <c r="C523" t="str">
        <f>IFERROR(__xludf.DUMMYFUNCTION("AI(""The city that the University in the row beside resides in"")"),"=AI(""The city that the University in the row beside resides in"")")</f>
        <v>=AI("The city that the University in the row beside resides in")</v>
      </c>
      <c r="D523" t="b">
        <v>0</v>
      </c>
      <c r="E523" t="b">
        <v>0</v>
      </c>
      <c r="G523" t="b">
        <v>0</v>
      </c>
      <c r="H523" t="b">
        <v>0</v>
      </c>
    </row>
    <row r="524">
      <c r="C524" t="str">
        <f>IFERROR(__xludf.DUMMYFUNCTION("AI(""The city that the University in the row beside resides in"")"),"I do not have enough information to answer the query. I am missing the university name for this row to determine the city it resides in.")</f>
        <v>I do not have enough information to answer the query. I am missing the university name for this row to determine the city it resides in.</v>
      </c>
      <c r="D524" t="b">
        <v>0</v>
      </c>
      <c r="E524" t="b">
        <v>0</v>
      </c>
      <c r="G524" t="b">
        <v>0</v>
      </c>
      <c r="H524" t="b">
        <v>0</v>
      </c>
    </row>
    <row r="525">
      <c r="C525" t="str">
        <f>IFERROR(__xludf.DUMMYFUNCTION("AI(""The city that the University in the row beside resides in"")"),"I do not have enough information to answer the query. I am missing the university name for this row to determine the city it resides in.")</f>
        <v>I do not have enough information to answer the query. I am missing the university name for this row to determine the city it resides in.</v>
      </c>
      <c r="D525" t="b">
        <v>0</v>
      </c>
      <c r="E525" t="b">
        <v>0</v>
      </c>
      <c r="G525" t="b">
        <v>0</v>
      </c>
      <c r="H525" t="b">
        <v>0</v>
      </c>
    </row>
    <row r="526">
      <c r="C526" t="str">
        <f>IFERROR(__xludf.DUMMYFUNCTION("AI(""The city that the University in the row beside resides in"")"),"I do not have enough information to answer the query. I am missing the university name for this row to determine the city it resides in.")</f>
        <v>I do not have enough information to answer the query. I am missing the university name for this row to determine the city it resides in.</v>
      </c>
      <c r="D526" t="b">
        <v>0</v>
      </c>
      <c r="E526" t="b">
        <v>0</v>
      </c>
      <c r="G526" t="b">
        <v>0</v>
      </c>
      <c r="H526" t="b">
        <v>0</v>
      </c>
    </row>
    <row r="527">
      <c r="C527" t="str">
        <f>IFERROR(__xludf.DUMMYFUNCTION("AI(""The city that the University in the row beside resides in"")"),"I do not have enough information to answer the query. I am missing the university name for this row to determine its city.")</f>
        <v>I do not have enough information to answer the query. I am missing the university name for this row to determine its city.</v>
      </c>
      <c r="D527" t="b">
        <v>0</v>
      </c>
      <c r="E527" t="b">
        <v>0</v>
      </c>
      <c r="G527" t="b">
        <v>0</v>
      </c>
      <c r="H527" t="b">
        <v>0</v>
      </c>
    </row>
    <row r="528">
      <c r="C528" t="str">
        <f>IFERROR(__xludf.DUMMYFUNCTION("AI(""The city that the University in the row beside resides in"")"),"I do not have enough information to answer the query. I am missing the university name for this row to determine its city.")</f>
        <v>I do not have enough information to answer the query. I am missing the university name for this row to determine its city.</v>
      </c>
      <c r="D528" t="b">
        <v>0</v>
      </c>
      <c r="E528" t="b">
        <v>0</v>
      </c>
      <c r="G528" t="b">
        <v>0</v>
      </c>
      <c r="H528" t="b">
        <v>0</v>
      </c>
    </row>
    <row r="529">
      <c r="C529" t="str">
        <f>IFERROR(__xludf.DUMMYFUNCTION("AI(""The city that the University in the row beside resides in"")"),"I do not have enough information to answer the query. I am missing the university name for this row to determine the city it resides in.")</f>
        <v>I do not have enough information to answer the query. I am missing the university name for this row to determine the city it resides in.</v>
      </c>
      <c r="D529" t="b">
        <v>0</v>
      </c>
      <c r="E529" t="b">
        <v>0</v>
      </c>
      <c r="G529" t="b">
        <v>0</v>
      </c>
      <c r="H529" t="b">
        <v>0</v>
      </c>
    </row>
    <row r="530">
      <c r="C530" t="str">
        <f>IFERROR(__xludf.DUMMYFUNCTION("AI(""The city that the University in the row beside resides in"")"),"I do not have enough information to answer the query. I am missing the university name for this row to determine the city.")</f>
        <v>I do not have enough information to answer the query. I am missing the university name for this row to determine the city.</v>
      </c>
      <c r="D530" t="b">
        <v>0</v>
      </c>
      <c r="E530" t="b">
        <v>0</v>
      </c>
      <c r="G530" t="b">
        <v>0</v>
      </c>
      <c r="H530" t="b">
        <v>0</v>
      </c>
    </row>
    <row r="531">
      <c r="C531" t="str">
        <f>IFERROR(__xludf.DUMMYFUNCTION("AI(""The city that the University in the row beside resides in"")"),"I do not have enough information to answer the query because the university name for row 531 is missing from the provided context.")</f>
        <v>I do not have enough information to answer the query because the university name for row 531 is missing from the provided context.</v>
      </c>
      <c r="D531" t="b">
        <v>0</v>
      </c>
      <c r="E531" t="b">
        <v>0</v>
      </c>
      <c r="G531" t="b">
        <v>0</v>
      </c>
      <c r="H531" t="b">
        <v>0</v>
      </c>
    </row>
    <row r="532">
      <c r="C532" t="str">
        <f>IFERROR(__xludf.DUMMYFUNCTION("AI(""The city that the University in the row beside resides in"")"),"I do not have enough information to answer the query. I am missing the university name for this row to determine its city.")</f>
        <v>I do not have enough information to answer the query. I am missing the university name for this row to determine its city.</v>
      </c>
      <c r="D532" t="b">
        <v>0</v>
      </c>
      <c r="E532" t="b">
        <v>0</v>
      </c>
      <c r="G532" t="b">
        <v>0</v>
      </c>
      <c r="H532" t="b">
        <v>0</v>
      </c>
    </row>
    <row r="533">
      <c r="C533" t="str">
        <f>IFERROR(__xludf.DUMMYFUNCTION("AI(""The city that the University in the row beside resides in"")"),"I do not have enough information to answer the query. I am missing the university name in column B for this row to determine its city.")</f>
        <v>I do not have enough information to answer the query. I am missing the university name in column B for this row to determine its city.</v>
      </c>
      <c r="D533" t="b">
        <v>0</v>
      </c>
      <c r="E533" t="b">
        <v>0</v>
      </c>
      <c r="G533" t="b">
        <v>0</v>
      </c>
      <c r="H533" t="b">
        <v>0</v>
      </c>
    </row>
    <row r="534">
      <c r="C534" t="str">
        <f>IFERROR(__xludf.DUMMYFUNCTION("AI(""The city that the University in the row beside resides in"")"),"I do not have enough information to answer the query, as the name of the university in row 534 is missing from the provided context.")</f>
        <v>I do not have enough information to answer the query, as the name of the university in row 534 is missing from the provided context.</v>
      </c>
      <c r="D534" t="b">
        <v>0</v>
      </c>
      <c r="E534" t="b">
        <v>0</v>
      </c>
      <c r="G534" t="b">
        <v>0</v>
      </c>
      <c r="H534" t="b">
        <v>0</v>
      </c>
    </row>
    <row r="535">
      <c r="C535" t="str">
        <f>IFERROR(__xludf.DUMMYFUNCTION("AI(""The city that the University in the row beside resides in"")"),"I do not have enough information to answer the query. I am missing the university name for this row to determine the city it resides in.")</f>
        <v>I do not have enough information to answer the query. I am missing the university name for this row to determine the city it resides in.</v>
      </c>
      <c r="D535" t="b">
        <v>0</v>
      </c>
      <c r="E535" t="b">
        <v>0</v>
      </c>
      <c r="G535" t="b">
        <v>0</v>
      </c>
      <c r="H535" t="b">
        <v>0</v>
      </c>
    </row>
    <row r="536">
      <c r="C536" t="str">
        <f>IFERROR(__xludf.DUMMYFUNCTION("AI(""The city that the University in the row beside resides in"")"),"=AI(""The city that the University in the row beside resides in"")")</f>
        <v>=AI("The city that the University in the row beside resides in")</v>
      </c>
      <c r="D536" t="b">
        <v>0</v>
      </c>
      <c r="E536" t="b">
        <v>0</v>
      </c>
      <c r="G536" t="b">
        <v>0</v>
      </c>
      <c r="H536" t="b">
        <v>0</v>
      </c>
    </row>
    <row r="537">
      <c r="C537" t="str">
        <f>IFERROR(__xludf.DUMMYFUNCTION("AI(""The city that the University in the row beside resides in"")"),"I do not have enough information to answer the query. I am missing the university name for this row to determine the city it resides in.")</f>
        <v>I do not have enough information to answer the query. I am missing the university name for this row to determine the city it resides in.</v>
      </c>
      <c r="D537" t="b">
        <v>0</v>
      </c>
      <c r="E537" t="b">
        <v>0</v>
      </c>
      <c r="G537" t="b">
        <v>0</v>
      </c>
      <c r="H537" t="b">
        <v>0</v>
      </c>
    </row>
    <row r="538">
      <c r="C538" t="str">
        <f>IFERROR(__xludf.DUMMYFUNCTION("AI(""The city that the University in the row beside resides in"")"),"=AI(""The city that the University in the row beside resides in"")")</f>
        <v>=AI("The city that the University in the row beside resides in")</v>
      </c>
      <c r="D538" t="b">
        <v>0</v>
      </c>
      <c r="E538" t="b">
        <v>0</v>
      </c>
      <c r="G538" t="b">
        <v>0</v>
      </c>
      <c r="H538" t="b">
        <v>0</v>
      </c>
    </row>
    <row r="539">
      <c r="C539" t="str">
        <f>IFERROR(__xludf.DUMMYFUNCTION("AI(""The city that the University in the row beside resides in"")"),"I do not have enough information to answer the query. The name of the university for this row is missing from the provided spreadsheet context.")</f>
        <v>I do not have enough information to answer the query. The name of the university for this row is missing from the provided spreadsheet context.</v>
      </c>
      <c r="D539" t="b">
        <v>0</v>
      </c>
      <c r="E539" t="b">
        <v>0</v>
      </c>
      <c r="G539" t="b">
        <v>0</v>
      </c>
      <c r="H539" t="b">
        <v>0</v>
      </c>
    </row>
    <row r="540">
      <c r="C540" t="str">
        <f>IFERROR(__xludf.DUMMYFUNCTION("AI(""The city that the University in the row beside resides in"")"),"I do not have enough information to answer the query. I am missing the university name for this row to determine its city.")</f>
        <v>I do not have enough information to answer the query. I am missing the university name for this row to determine its city.</v>
      </c>
      <c r="D540" t="b">
        <v>0</v>
      </c>
      <c r="E540" t="b">
        <v>0</v>
      </c>
      <c r="G540" t="b">
        <v>0</v>
      </c>
      <c r="H540" t="b">
        <v>0</v>
      </c>
    </row>
    <row r="541">
      <c r="C541" t="str">
        <f>IFERROR(__xludf.DUMMYFUNCTION("AI(""The city that the University in the row beside resides in"")"),"I do not have enough information to answer the query. I am missing the university name in column B for this row to determine the city it resides in.")</f>
        <v>I do not have enough information to answer the query. I am missing the university name in column B for this row to determine the city it resides in.</v>
      </c>
      <c r="D541" t="b">
        <v>0</v>
      </c>
      <c r="E541" t="b">
        <v>0</v>
      </c>
      <c r="G541" t="b">
        <v>0</v>
      </c>
      <c r="H541" t="b">
        <v>0</v>
      </c>
    </row>
    <row r="542">
      <c r="C542" t="str">
        <f>IFERROR(__xludf.DUMMYFUNCTION("AI(""The city that the University in the row beside resides in"")"),"I do not have enough information to answer the query. I am missing the university name for this row to determine the city it resides in.")</f>
        <v>I do not have enough information to answer the query. I am missing the university name for this row to determine the city it resides in.</v>
      </c>
      <c r="D542" t="b">
        <v>0</v>
      </c>
      <c r="E542" t="b">
        <v>0</v>
      </c>
      <c r="G542" t="b">
        <v>0</v>
      </c>
      <c r="H542" t="b">
        <v>0</v>
      </c>
    </row>
    <row r="543">
      <c r="C543" t="str">
        <f>IFERROR(__xludf.DUMMYFUNCTION("AI(""The city that the University in the row beside resides in"")"),"I do not have enough information to answer the query. I am missing the university name for row 543 to determine the city it resides in.")</f>
        <v>I do not have enough information to answer the query. I am missing the university name for row 543 to determine the city it resides in.</v>
      </c>
      <c r="D543" t="b">
        <v>0</v>
      </c>
      <c r="E543" t="b">
        <v>0</v>
      </c>
      <c r="G543" t="b">
        <v>0</v>
      </c>
      <c r="H543" t="b">
        <v>0</v>
      </c>
    </row>
    <row r="544">
      <c r="C544" t="str">
        <f>IFERROR(__xludf.DUMMYFUNCTION("AI(""The city that the University in the row beside resides in"")"),"I do not have enough information to answer the query because the university name for this row is missing from the provided context.")</f>
        <v>I do not have enough information to answer the query because the university name for this row is missing from the provided context.</v>
      </c>
      <c r="D544" t="b">
        <v>0</v>
      </c>
      <c r="E544" t="b">
        <v>0</v>
      </c>
      <c r="G544" t="b">
        <v>0</v>
      </c>
      <c r="H544" t="b">
        <v>0</v>
      </c>
    </row>
    <row r="545">
      <c r="C545" t="str">
        <f>IFERROR(__xludf.DUMMYFUNCTION("AI(""The city that the University in the row beside resides in"")"),"I do not have enough information to determine the city because the university name for this row is missing from the spreadsheet context.")</f>
        <v>I do not have enough information to determine the city because the university name for this row is missing from the spreadsheet context.</v>
      </c>
      <c r="D545" t="b">
        <v>0</v>
      </c>
      <c r="E545" t="b">
        <v>0</v>
      </c>
      <c r="G545" t="b">
        <v>0</v>
      </c>
      <c r="H545" t="b">
        <v>0</v>
      </c>
    </row>
    <row r="546">
      <c r="C546" t="str">
        <f>IFERROR(__xludf.DUMMYFUNCTION("AI(""The city that the University in the row beside resides in"")"),"I do not have enough information to determine the city because the university name for this row is not visible in the provided context.")</f>
        <v>I do not have enough information to determine the city because the university name for this row is not visible in the provided context.</v>
      </c>
      <c r="D546" t="b">
        <v>0</v>
      </c>
      <c r="E546" t="b">
        <v>0</v>
      </c>
      <c r="G546" t="b">
        <v>0</v>
      </c>
      <c r="H546" t="b">
        <v>0</v>
      </c>
    </row>
    <row r="547">
      <c r="C547" t="str">
        <f>IFERROR(__xludf.DUMMYFUNCTION("AI(""The city that the University in the row beside resides in"")"),"I do not have enough information to answer the query. I am missing the university name for this row to determine the city it resides in.")</f>
        <v>I do not have enough information to answer the query. I am missing the university name for this row to determine the city it resides in.</v>
      </c>
      <c r="D547" t="b">
        <v>0</v>
      </c>
      <c r="E547" t="b">
        <v>0</v>
      </c>
      <c r="G547" t="b">
        <v>0</v>
      </c>
      <c r="H547" t="b">
        <v>0</v>
      </c>
    </row>
    <row r="548">
      <c r="C548" t="str">
        <f>IFERROR(__xludf.DUMMYFUNCTION("AI(""The city that the University in the row beside resides in"")"),"I do not have enough information to answer the query. I am missing the university name in row 548 to determine the city it resides in.")</f>
        <v>I do not have enough information to answer the query. I am missing the university name in row 548 to determine the city it resides in.</v>
      </c>
      <c r="D548" t="b">
        <v>0</v>
      </c>
      <c r="E548" t="b">
        <v>0</v>
      </c>
      <c r="G548" t="b">
        <v>0</v>
      </c>
      <c r="H548" t="b">
        <v>0</v>
      </c>
    </row>
    <row r="549">
      <c r="C549" t="str">
        <f>IFERROR(__xludf.DUMMYFUNCTION("AI(""The city that the University in the row beside resides in"")"),"I do not have enough information to answer the query. I am missing the name of the university in row 549 to determine the city it resides in.")</f>
        <v>I do not have enough information to answer the query. I am missing the name of the university in row 549 to determine the city it resides in.</v>
      </c>
      <c r="D549" t="b">
        <v>0</v>
      </c>
      <c r="E549" t="b">
        <v>0</v>
      </c>
      <c r="G549" t="b">
        <v>0</v>
      </c>
      <c r="H549" t="b">
        <v>0</v>
      </c>
    </row>
    <row r="550">
      <c r="C550" t="str">
        <f>IFERROR(__xludf.DUMMYFUNCTION("AI(""The city that the University in the row beside resides in"")"),"I do not have enough information to answer the query. I am missing the university name for this row to determine its city.")</f>
        <v>I do not have enough information to answer the query. I am missing the university name for this row to determine its city.</v>
      </c>
      <c r="D550" t="b">
        <v>0</v>
      </c>
      <c r="E550" t="b">
        <v>0</v>
      </c>
      <c r="G550" t="b">
        <v>0</v>
      </c>
      <c r="H550" t="b">
        <v>0</v>
      </c>
    </row>
    <row r="551">
      <c r="C551" t="str">
        <f>IFERROR(__xludf.DUMMYFUNCTION("AI(""The city that the University in the row beside resides in"")"),"=AI(""The city that the University in the row beside resides in"")")</f>
        <v>=AI("The city that the University in the row beside resides in")</v>
      </c>
      <c r="D551" t="b">
        <v>0</v>
      </c>
      <c r="E551" t="b">
        <v>0</v>
      </c>
      <c r="G551" t="b">
        <v>0</v>
      </c>
      <c r="H551" t="b">
        <v>0</v>
      </c>
    </row>
    <row r="552">
      <c r="C552" t="str">
        <f>IFERROR(__xludf.DUMMYFUNCTION("AI(""The city that the University in the row beside resides in"")"),"=AI(""The city that the University in the row beside resides in"")")</f>
        <v>=AI("The city that the University in the row beside resides in")</v>
      </c>
      <c r="D552" t="b">
        <v>0</v>
      </c>
      <c r="E552" t="b">
        <v>0</v>
      </c>
      <c r="G552" t="b">
        <v>0</v>
      </c>
      <c r="H552" t="b">
        <v>0</v>
      </c>
    </row>
    <row r="553">
      <c r="C553" t="str">
        <f>IFERROR(__xludf.DUMMYFUNCTION("AI(""The city that the University in the row beside resides in"")"),"Groningen")</f>
        <v>Groningen</v>
      </c>
      <c r="D553" t="b">
        <v>0</v>
      </c>
      <c r="E553" t="b">
        <v>0</v>
      </c>
      <c r="G553" t="b">
        <v>0</v>
      </c>
      <c r="H553" t="b">
        <v>0</v>
      </c>
    </row>
    <row r="554">
      <c r="C554" t="str">
        <f>IFERROR(__xludf.DUMMYFUNCTION("AI(""The city that the University in the row beside resides in"")"),"=AI(""The city that the University in the row beside resides in"")")</f>
        <v>=AI("The city that the University in the row beside resides in")</v>
      </c>
      <c r="D554" t="b">
        <v>0</v>
      </c>
      <c r="E554" t="b">
        <v>0</v>
      </c>
      <c r="G554" t="b">
        <v>0</v>
      </c>
      <c r="H554" t="b">
        <v>0</v>
      </c>
    </row>
    <row r="555">
      <c r="C555" t="str">
        <f>IFERROR(__xludf.DUMMYFUNCTION("AI(""The city that the University in the row beside resides in"")"),"I do not have enough information to answer the query. I am missing the university name for this row to determine its city.")</f>
        <v>I do not have enough information to answer the query. I am missing the university name for this row to determine its city.</v>
      </c>
      <c r="D555" t="b">
        <v>0</v>
      </c>
      <c r="E555" t="b">
        <v>0</v>
      </c>
      <c r="G555" t="b">
        <v>0</v>
      </c>
      <c r="H555" t="b">
        <v>0</v>
      </c>
    </row>
    <row r="556">
      <c r="C556" t="str">
        <f>IFERROR(__xludf.DUMMYFUNCTION("AI(""The city that the University in the row beside resides in"")"),"=AI(""The city that the University in the row beside resides in"")")</f>
        <v>=AI("The city that the University in the row beside resides in")</v>
      </c>
      <c r="D556" t="b">
        <v>0</v>
      </c>
      <c r="E556" t="b">
        <v>0</v>
      </c>
      <c r="G556" t="b">
        <v>0</v>
      </c>
      <c r="H556" t="b">
        <v>0</v>
      </c>
    </row>
    <row r="557">
      <c r="C557" t="str">
        <f>IFERROR(__xludf.DUMMYFUNCTION("AI(""The city that the University in the row beside resides in"")"),"I do not have enough information to answer the query. I am missing the university name for this row to determine its city.")</f>
        <v>I do not have enough information to answer the query. I am missing the university name for this row to determine its city.</v>
      </c>
      <c r="D557" t="b">
        <v>0</v>
      </c>
      <c r="E557" t="b">
        <v>0</v>
      </c>
      <c r="G557" t="b">
        <v>0</v>
      </c>
      <c r="H557" t="b">
        <v>0</v>
      </c>
    </row>
    <row r="558">
      <c r="C558" t="str">
        <f>IFERROR(__xludf.DUMMYFUNCTION("AI(""The city that the University in the row beside resides in"")"),"=AI(""The city that the University in the row beside resides in"")")</f>
        <v>=AI("The city that the University in the row beside resides in")</v>
      </c>
      <c r="D558" t="b">
        <v>0</v>
      </c>
      <c r="E558" t="b">
        <v>0</v>
      </c>
      <c r="G558" t="b">
        <v>0</v>
      </c>
      <c r="H558" t="b">
        <v>0</v>
      </c>
    </row>
    <row r="559">
      <c r="C559" t="str">
        <f>IFERROR(__xludf.DUMMYFUNCTION("AI(""The city that the University in the row beside resides in"")"),"=AI(""The city that the University in the row beside resides in"")")</f>
        <v>=AI("The city that the University in the row beside resides in")</v>
      </c>
      <c r="D559" t="b">
        <v>0</v>
      </c>
      <c r="E559" t="b">
        <v>0</v>
      </c>
      <c r="G559" t="b">
        <v>0</v>
      </c>
      <c r="H559" t="b">
        <v>0</v>
      </c>
    </row>
    <row r="560">
      <c r="C560" t="str">
        <f>IFERROR(__xludf.DUMMYFUNCTION("AI(""The city that the University in the row beside resides in"")"),"=AI(""The city that the University in the row beside resides in"")")</f>
        <v>=AI("The city that the University in the row beside resides in")</v>
      </c>
      <c r="D560" t="b">
        <v>0</v>
      </c>
      <c r="E560" t="b">
        <v>0</v>
      </c>
      <c r="G560" t="b">
        <v>0</v>
      </c>
      <c r="H560" t="b">
        <v>0</v>
      </c>
    </row>
    <row r="561">
      <c r="C561" t="str">
        <f>IFERROR(__xludf.DUMMYFUNCTION("AI(""The city that the University in the row beside resides in"")"),"I do not have enough information to answer the query. I am missing the university name for this row to determine its city.")</f>
        <v>I do not have enough information to answer the query. I am missing the university name for this row to determine its city.</v>
      </c>
      <c r="D561" t="b">
        <v>0</v>
      </c>
      <c r="E561" t="b">
        <v>0</v>
      </c>
      <c r="G561" t="b">
        <v>0</v>
      </c>
      <c r="H561" t="b">
        <v>0</v>
      </c>
    </row>
    <row r="562">
      <c r="C562" t="str">
        <f>IFERROR(__xludf.DUMMYFUNCTION("AI(""The city that the University in the row beside resides in"")"),"I do not have enough information to answer the query. I am missing the university name for this row to determine the city it resides in.")</f>
        <v>I do not have enough information to answer the query. I am missing the university name for this row to determine the city it resides in.</v>
      </c>
      <c r="D562" t="b">
        <v>0</v>
      </c>
      <c r="E562" t="b">
        <v>0</v>
      </c>
      <c r="G562" t="b">
        <v>0</v>
      </c>
      <c r="H562" t="b">
        <v>0</v>
      </c>
    </row>
    <row r="563">
      <c r="C563" t="str">
        <f>IFERROR(__xludf.DUMMYFUNCTION("AI(""The city that the University in the row beside resides in"")"),"I do not have enough information to answer the query. I am missing the university name for this row to determine the city.")</f>
        <v>I do not have enough information to answer the query. I am missing the university name for this row to determine the city.</v>
      </c>
      <c r="D563" t="b">
        <v>0</v>
      </c>
      <c r="E563" t="b">
        <v>0</v>
      </c>
      <c r="G563" t="b">
        <v>0</v>
      </c>
      <c r="H563" t="b">
        <v>0</v>
      </c>
    </row>
    <row r="564">
      <c r="C564" t="str">
        <f>IFERROR(__xludf.DUMMYFUNCTION("AI(""The city that the University in the row beside resides in"")"),"I do not have enough information to answer the query. I am missing the university name for this row to determine the city it resides in.")</f>
        <v>I do not have enough information to answer the query. I am missing the university name for this row to determine the city it resides in.</v>
      </c>
      <c r="D564" t="b">
        <v>0</v>
      </c>
      <c r="E564" t="b">
        <v>0</v>
      </c>
      <c r="G564" t="b">
        <v>0</v>
      </c>
      <c r="H564" t="b">
        <v>0</v>
      </c>
    </row>
    <row r="565">
      <c r="C565" t="str">
        <f>IFERROR(__xludf.DUMMYFUNCTION("AI(""The city that the University in the row beside resides in"")"),"=AI(""The city that the University in the row beside resides in"")")</f>
        <v>=AI("The city that the University in the row beside resides in")</v>
      </c>
      <c r="D565" t="b">
        <v>0</v>
      </c>
      <c r="E565" t="b">
        <v>0</v>
      </c>
      <c r="G565" t="b">
        <v>0</v>
      </c>
      <c r="H565" t="b">
        <v>0</v>
      </c>
    </row>
    <row r="566">
      <c r="C566" t="str">
        <f>IFERROR(__xludf.DUMMYFUNCTION("AI(""The city that the University in the row beside resides in"")"),"I do not have enough information to answer the query. I am missing the university name for this row to determine the city it resides in.")</f>
        <v>I do not have enough information to answer the query. I am missing the university name for this row to determine the city it resides in.</v>
      </c>
      <c r="D566" t="b">
        <v>0</v>
      </c>
      <c r="E566" t="b">
        <v>0</v>
      </c>
      <c r="G566" t="b">
        <v>0</v>
      </c>
      <c r="H566" t="b">
        <v>0</v>
      </c>
    </row>
    <row r="567">
      <c r="C567" t="str">
        <f>IFERROR(__xludf.DUMMYFUNCTION("AI(""The city that the University in the row beside resides in"")"),"I do not have enough information to answer the query. The name of the university in row 567 is missing from the provided data, so I cannot determine the city it resides in.")</f>
        <v>I do not have enough information to answer the query. The name of the university in row 567 is missing from the provided data, so I cannot determine the city it resides in.</v>
      </c>
      <c r="D567" t="b">
        <v>0</v>
      </c>
      <c r="E567" t="b">
        <v>0</v>
      </c>
      <c r="G567" t="b">
        <v>0</v>
      </c>
      <c r="H567" t="b">
        <v>0</v>
      </c>
    </row>
    <row r="568">
      <c r="C568" t="str">
        <f>IFERROR(__xludf.DUMMYFUNCTION("AI(""The city that the University in the row beside resides in"")"),"I do not have enough information to answer the query because the university name is missing from the row context. Please provide the university name to determine its city.")</f>
        <v>I do not have enough information to answer the query because the university name is missing from the row context. Please provide the university name to determine its city.</v>
      </c>
      <c r="D568" t="b">
        <v>0</v>
      </c>
      <c r="E568" t="b">
        <v>0</v>
      </c>
      <c r="G568" t="b">
        <v>0</v>
      </c>
      <c r="H568" t="b">
        <v>0</v>
      </c>
    </row>
    <row r="569">
      <c r="C569" t="str">
        <f>IFERROR(__xludf.DUMMYFUNCTION("AI(""The city that the University in the row beside resides in"")"),"I do not have enough information to answer the query. I am missing the university name for this row to determine the city it resides in.")</f>
        <v>I do not have enough information to answer the query. I am missing the university name for this row to determine the city it resides in.</v>
      </c>
      <c r="D569" t="b">
        <v>0</v>
      </c>
      <c r="E569" t="b">
        <v>0</v>
      </c>
      <c r="G569" t="b">
        <v>0</v>
      </c>
      <c r="H569" t="b">
        <v>0</v>
      </c>
    </row>
    <row r="570">
      <c r="C570" t="str">
        <f>IFERROR(__xludf.DUMMYFUNCTION("AI(""The city that the University in the row beside resides in"")"),"I do not have enough information to answer the query, as the university name in the row beside column C is missing from the provided context.")</f>
        <v>I do not have enough information to answer the query, as the university name in the row beside column C is missing from the provided context.</v>
      </c>
      <c r="D570" t="b">
        <v>0</v>
      </c>
      <c r="E570" t="b">
        <v>0</v>
      </c>
      <c r="G570" t="b">
        <v>0</v>
      </c>
      <c r="H570" t="b">
        <v>0</v>
      </c>
    </row>
    <row r="571">
      <c r="C571" t="str">
        <f>IFERROR(__xludf.DUMMYFUNCTION("AI(""The city that the University in the row beside resides in"")"),"I do not have enough information to answer the query. I am missing the university name for this row to determine its city.")</f>
        <v>I do not have enough information to answer the query. I am missing the university name for this row to determine its city.</v>
      </c>
      <c r="D571" t="b">
        <v>0</v>
      </c>
      <c r="E571" t="b">
        <v>0</v>
      </c>
      <c r="G571" t="b">
        <v>0</v>
      </c>
      <c r="H571" t="b">
        <v>0</v>
      </c>
    </row>
    <row r="572">
      <c r="C572" t="str">
        <f>IFERROR(__xludf.DUMMYFUNCTION("AI(""The city that the University in the row beside resides in"")"),"=AI(""The city that the University in the row beside resides in"")")</f>
        <v>=AI("The city that the University in the row beside resides in")</v>
      </c>
      <c r="D572" t="b">
        <v>0</v>
      </c>
      <c r="E572" t="b">
        <v>0</v>
      </c>
      <c r="G572" t="b">
        <v>0</v>
      </c>
      <c r="H572" t="b">
        <v>0</v>
      </c>
    </row>
    <row r="573">
      <c r="C573" t="str">
        <f>IFERROR(__xludf.DUMMYFUNCTION("AI(""The city that the University in the row beside resides in"")"),"I do not have enough information to determine the city because the university name in column B (NLUniversityName) for this row is missing from the provided context.")</f>
        <v>I do not have enough information to determine the city because the university name in column B (NLUniversityName) for this row is missing from the provided context.</v>
      </c>
      <c r="D573" t="b">
        <v>0</v>
      </c>
      <c r="E573" t="b">
        <v>0</v>
      </c>
      <c r="G573" t="b">
        <v>0</v>
      </c>
      <c r="H573" t="b">
        <v>0</v>
      </c>
    </row>
    <row r="574">
      <c r="C574" t="str">
        <f>IFERROR(__xludf.DUMMYFUNCTION("AI(""The city that the University in the row beside resides in"")"),"I do not have enough information to provide the city because the university name for this row is missing from the provided context. Please include the university name to get the correct city.")</f>
        <v>I do not have enough information to provide the city because the university name for this row is missing from the provided context. Please include the university name to get the correct city.</v>
      </c>
      <c r="D574" t="b">
        <v>0</v>
      </c>
      <c r="E574" t="b">
        <v>0</v>
      </c>
      <c r="G574" t="b">
        <v>0</v>
      </c>
      <c r="H574" t="b">
        <v>0</v>
      </c>
    </row>
    <row r="575">
      <c r="C575" t="str">
        <f>IFERROR(__xludf.DUMMYFUNCTION("AI(""The city that the University in the row beside resides in"")"),"I do not have enough information to answer the query. I am missing the university name in column B for this row to determine which city it resides in.")</f>
        <v>I do not have enough information to answer the query. I am missing the university name in column B for this row to determine which city it resides in.</v>
      </c>
      <c r="D575" t="b">
        <v>0</v>
      </c>
      <c r="E575" t="b">
        <v>0</v>
      </c>
      <c r="G575" t="b">
        <v>0</v>
      </c>
      <c r="H575" t="b">
        <v>0</v>
      </c>
    </row>
    <row r="576">
      <c r="C576" t="str">
        <f>IFERROR(__xludf.DUMMYFUNCTION("AI(""The city that the University in the row beside resides in"")"),"I do not have enough information to answer the query. I am missing the university name for row 576 to determine its city.")</f>
        <v>I do not have enough information to answer the query. I am missing the university name for row 576 to determine its city.</v>
      </c>
      <c r="D576" t="b">
        <v>0</v>
      </c>
      <c r="E576" t="b">
        <v>0</v>
      </c>
      <c r="G576" t="b">
        <v>0</v>
      </c>
      <c r="H576" t="b">
        <v>0</v>
      </c>
    </row>
    <row r="577">
      <c r="C577" t="str">
        <f>IFERROR(__xludf.DUMMYFUNCTION("AI(""The city that the University in the row beside resides in"")"),"I do not have enough information to answer the query. The university name in the row beside is missing from the provided data.")</f>
        <v>I do not have enough information to answer the query. The university name in the row beside is missing from the provided data.</v>
      </c>
      <c r="D577" t="b">
        <v>0</v>
      </c>
      <c r="E577" t="b">
        <v>0</v>
      </c>
      <c r="G577" t="b">
        <v>0</v>
      </c>
      <c r="H577" t="b">
        <v>0</v>
      </c>
    </row>
    <row r="578">
      <c r="C578" t="str">
        <f>IFERROR(__xludf.DUMMYFUNCTION("AI(""The city that the University in the row beside resides in"")"),"I do not have enough information to answer the query. I am missing the university name for this row to determine the city it resides in.")</f>
        <v>I do not have enough information to answer the query. I am missing the university name for this row to determine the city it resides in.</v>
      </c>
      <c r="D578" t="b">
        <v>0</v>
      </c>
      <c r="E578" t="b">
        <v>0</v>
      </c>
      <c r="G578" t="b">
        <v>0</v>
      </c>
      <c r="H578" t="b">
        <v>0</v>
      </c>
    </row>
    <row r="579">
      <c r="C579" t="str">
        <f>IFERROR(__xludf.DUMMYFUNCTION("AI(""The city that the University in the row beside resides in"")"),"I do not have enough information to answer the query. I am missing the university name for this row to determine its city.")</f>
        <v>I do not have enough information to answer the query. I am missing the university name for this row to determine its city.</v>
      </c>
      <c r="D579" t="b">
        <v>0</v>
      </c>
      <c r="E579" t="b">
        <v>0</v>
      </c>
      <c r="G579" t="b">
        <v>0</v>
      </c>
      <c r="H579" t="b">
        <v>0</v>
      </c>
    </row>
    <row r="580">
      <c r="C580" t="str">
        <f>IFERROR(__xludf.DUMMYFUNCTION("AI(""The city that the University in the row beside resides in"")"),"I do not have enough information to answer the query. I am missing the university name for this row to determine the city it resides in.")</f>
        <v>I do not have enough information to answer the query. I am missing the university name for this row to determine the city it resides in.</v>
      </c>
      <c r="D580" t="b">
        <v>0</v>
      </c>
      <c r="E580" t="b">
        <v>0</v>
      </c>
      <c r="G580" t="b">
        <v>0</v>
      </c>
      <c r="H580" t="b">
        <v>0</v>
      </c>
    </row>
    <row r="581">
      <c r="C581" t="str">
        <f>IFERROR(__xludf.DUMMYFUNCTION("AI(""The city that the University in the row beside resides in"")"),"=AI(""The city that the University in the row beside resides in"")")</f>
        <v>=AI("The city that the University in the row beside resides in")</v>
      </c>
      <c r="D581" t="b">
        <v>0</v>
      </c>
      <c r="E581" t="b">
        <v>0</v>
      </c>
      <c r="G581" t="b">
        <v>0</v>
      </c>
      <c r="H581" t="b">
        <v>0</v>
      </c>
    </row>
    <row r="582">
      <c r="C582" t="str">
        <f>IFERROR(__xludf.DUMMYFUNCTION("AI(""The city that the University in the row beside resides in"")"),"=AI(""The city that the University in the row beside resides in"")")</f>
        <v>=AI("The city that the University in the row beside resides in")</v>
      </c>
      <c r="D582" t="b">
        <v>0</v>
      </c>
      <c r="E582" t="b">
        <v>0</v>
      </c>
      <c r="G582" t="b">
        <v>0</v>
      </c>
      <c r="H582" t="b">
        <v>0</v>
      </c>
    </row>
    <row r="583">
      <c r="C583" t="str">
        <f>IFERROR(__xludf.DUMMYFUNCTION("AI(""The city that the University in the row beside resides in"")"),"I do not have enough information to answer the query. I am missing the university name for this row to determine its city.")</f>
        <v>I do not have enough information to answer the query. I am missing the university name for this row to determine its city.</v>
      </c>
      <c r="D583" t="b">
        <v>0</v>
      </c>
      <c r="E583" t="b">
        <v>0</v>
      </c>
      <c r="G583" t="b">
        <v>0</v>
      </c>
      <c r="H583" t="b">
        <v>0</v>
      </c>
    </row>
    <row r="584">
      <c r="C584" t="str">
        <f>IFERROR(__xludf.DUMMYFUNCTION("AI(""The city that the University in the row beside resides in"")"),"=AI(""The city that the University in the row beside resides in"")")</f>
        <v>=AI("The city that the University in the row beside resides in")</v>
      </c>
      <c r="D584" t="b">
        <v>0</v>
      </c>
      <c r="E584" t="b">
        <v>0</v>
      </c>
      <c r="G584" t="b">
        <v>0</v>
      </c>
      <c r="H584" t="b">
        <v>0</v>
      </c>
    </row>
    <row r="585">
      <c r="C585" t="str">
        <f>IFERROR(__xludf.DUMMYFUNCTION("AI(""The city that the University in the row beside resides in"")"),"=AI(""The city that the University in the row beside resides in"")")</f>
        <v>=AI("The city that the University in the row beside resides in")</v>
      </c>
      <c r="D585" t="b">
        <v>0</v>
      </c>
      <c r="E585" t="b">
        <v>0</v>
      </c>
      <c r="G585" t="b">
        <v>0</v>
      </c>
      <c r="H585" t="b">
        <v>0</v>
      </c>
    </row>
    <row r="586">
      <c r="C586" t="str">
        <f>IFERROR(__xludf.DUMMYFUNCTION("AI(""The city that the University in the row beside resides in"")"),"=AI(""The city that the University in the row beside resides in"")")</f>
        <v>=AI("The city that the University in the row beside resides in")</v>
      </c>
      <c r="D586" t="b">
        <v>0</v>
      </c>
      <c r="E586" t="b">
        <v>0</v>
      </c>
      <c r="G586" t="b">
        <v>0</v>
      </c>
      <c r="H586" t="b">
        <v>0</v>
      </c>
    </row>
    <row r="587">
      <c r="C587" t="str">
        <f>IFERROR(__xludf.DUMMYFUNCTION("AI(""The city that the University in the row beside resides in"")"),"I do not have enough information to determine the city because the university name in column B for row 587 is missing from the provided context. Please include the university name to get the correct city.")</f>
        <v>I do not have enough information to determine the city because the university name in column B for row 587 is missing from the provided context. Please include the university name to get the correct city.</v>
      </c>
      <c r="D587" t="b">
        <v>0</v>
      </c>
      <c r="E587" t="b">
        <v>0</v>
      </c>
      <c r="G587" t="b">
        <v>0</v>
      </c>
      <c r="H587" t="b">
        <v>0</v>
      </c>
    </row>
    <row r="588">
      <c r="C588" t="str">
        <f>IFERROR(__xludf.DUMMYFUNCTION("AI(""The city that the University in the row beside resides in"")"),"I do not have enough information to answer the query. I am missing the university name for row 588 to determine the city it resides in.")</f>
        <v>I do not have enough information to answer the query. I am missing the university name for row 588 to determine the city it resides in.</v>
      </c>
      <c r="D588" t="b">
        <v>0</v>
      </c>
      <c r="E588" t="b">
        <v>0</v>
      </c>
      <c r="G588" t="b">
        <v>0</v>
      </c>
      <c r="H588" t="b">
        <v>0</v>
      </c>
    </row>
    <row r="589">
      <c r="C589" t="str">
        <f>IFERROR(__xludf.DUMMYFUNCTION("AI(""The city that the University in the row beside resides in"")"),"=AI(""The city that the University in the row beside resides in"")")</f>
        <v>=AI("The city that the University in the row beside resides in")</v>
      </c>
      <c r="D589" t="b">
        <v>0</v>
      </c>
      <c r="E589" t="b">
        <v>0</v>
      </c>
      <c r="G589" t="b">
        <v>0</v>
      </c>
      <c r="H589" t="b">
        <v>0</v>
      </c>
    </row>
    <row r="590">
      <c r="C590" t="str">
        <f>IFERROR(__xludf.DUMMYFUNCTION("AI(""The city that the University in the row beside resides in"")"),"=AI(""The city that the University in the row beside resides in"")")</f>
        <v>=AI("The city that the University in the row beside resides in")</v>
      </c>
      <c r="D590" t="b">
        <v>0</v>
      </c>
      <c r="E590" t="b">
        <v>0</v>
      </c>
      <c r="G590" t="b">
        <v>0</v>
      </c>
      <c r="H590" t="b">
        <v>0</v>
      </c>
    </row>
    <row r="591">
      <c r="C591" t="str">
        <f>IFERROR(__xludf.DUMMYFUNCTION("AI(""The city that the University in the row beside resides in"")"),"I do not have enough information to answer the query. I am missing the university name in row 591 to determine its city.")</f>
        <v>I do not have enough information to answer the query. I am missing the university name in row 591 to determine its city.</v>
      </c>
      <c r="D591" t="b">
        <v>0</v>
      </c>
      <c r="E591" t="b">
        <v>0</v>
      </c>
      <c r="G591" t="b">
        <v>0</v>
      </c>
      <c r="H591" t="b">
        <v>0</v>
      </c>
    </row>
    <row r="592">
      <c r="C592" t="str">
        <f>IFERROR(__xludf.DUMMYFUNCTION("AI(""The city that the University in the row beside resides in"")"),"I do not have enough information to answer the query. I am missing the university name for row 592 to determine its city.")</f>
        <v>I do not have enough information to answer the query. I am missing the university name for row 592 to determine its city.</v>
      </c>
      <c r="D592" t="b">
        <v>0</v>
      </c>
      <c r="E592" t="b">
        <v>0</v>
      </c>
      <c r="G592" t="b">
        <v>0</v>
      </c>
      <c r="H592" t="b">
        <v>0</v>
      </c>
    </row>
    <row r="593">
      <c r="C593" t="str">
        <f>IFERROR(__xludf.DUMMYFUNCTION("AI(""The city that the University in the row beside resides in"")"),"I do not have enough information to answer the query. I am missing the university name for row 593 to determine the city it resides in.")</f>
        <v>I do not have enough information to answer the query. I am missing the university name for row 593 to determine the city it resides in.</v>
      </c>
      <c r="D593" t="b">
        <v>0</v>
      </c>
      <c r="E593" t="b">
        <v>0</v>
      </c>
      <c r="G593" t="b">
        <v>0</v>
      </c>
      <c r="H593" t="b">
        <v>0</v>
      </c>
    </row>
    <row r="594">
      <c r="C594" t="str">
        <f>IFERROR(__xludf.DUMMYFUNCTION("AI(""The city that the University in the row beside resides in"")"),"I do not have enough information to answer the query. I am missing the university name for this row to determine its city.")</f>
        <v>I do not have enough information to answer the query. I am missing the university name for this row to determine its city.</v>
      </c>
      <c r="D594" t="b">
        <v>0</v>
      </c>
      <c r="E594" t="b">
        <v>0</v>
      </c>
      <c r="G594" t="b">
        <v>0</v>
      </c>
      <c r="H594" t="b">
        <v>0</v>
      </c>
    </row>
    <row r="595">
      <c r="C595" t="str">
        <f>IFERROR(__xludf.DUMMYFUNCTION("AI(""The city that the University in the row beside resides in"")"),"=AI(""The city that the University in the row beside resides in"")")</f>
        <v>=AI("The city that the University in the row beside resides in")</v>
      </c>
      <c r="D595" t="b">
        <v>0</v>
      </c>
      <c r="E595" t="b">
        <v>0</v>
      </c>
      <c r="G595" t="b">
        <v>0</v>
      </c>
      <c r="H595" t="b">
        <v>0</v>
      </c>
    </row>
    <row r="596">
      <c r="C596" t="str">
        <f>IFERROR(__xludf.DUMMYFUNCTION("AI(""The city that the University in the row beside resides in"")"),"I do not have enough information to answer the query. I am missing the university name in column B for this row to determine the city.")</f>
        <v>I do not have enough information to answer the query. I am missing the university name in column B for this row to determine the city.</v>
      </c>
      <c r="D596" t="b">
        <v>0</v>
      </c>
      <c r="E596" t="b">
        <v>0</v>
      </c>
      <c r="G596" t="b">
        <v>0</v>
      </c>
      <c r="H596" t="b">
        <v>0</v>
      </c>
    </row>
    <row r="597">
      <c r="C597" t="str">
        <f>IFERROR(__xludf.DUMMYFUNCTION("AI(""The city that the University in the row beside resides in"")"),"I do not have enough information to determine the city because the university name in the row beside is missing from the provided context.")</f>
        <v>I do not have enough information to determine the city because the university name in the row beside is missing from the provided context.</v>
      </c>
      <c r="D597" t="b">
        <v>0</v>
      </c>
      <c r="E597" t="b">
        <v>0</v>
      </c>
      <c r="G597" t="b">
        <v>0</v>
      </c>
      <c r="H597" t="b">
        <v>0</v>
      </c>
    </row>
    <row r="598">
      <c r="C598" t="str">
        <f>IFERROR(__xludf.DUMMYFUNCTION("AI(""The city that the University in the row beside resides in"")"),"I do not have enough information to answer the query. I am missing the university name for this row to determine the city it resides in.")</f>
        <v>I do not have enough information to answer the query. I am missing the university name for this row to determine the city it resides in.</v>
      </c>
      <c r="D598" t="b">
        <v>0</v>
      </c>
      <c r="E598" t="b">
        <v>0</v>
      </c>
      <c r="G598" t="b">
        <v>0</v>
      </c>
      <c r="H598" t="b">
        <v>0</v>
      </c>
    </row>
    <row r="599">
      <c r="C599" t="str">
        <f>IFERROR(__xludf.DUMMYFUNCTION("AI(""The city that the University in the row beside resides in"")"),"I do not have enough information to answer the query. The university name for this row is missing from the provided data.")</f>
        <v>I do not have enough information to answer the query. The university name for this row is missing from the provided data.</v>
      </c>
      <c r="D599" t="b">
        <v>0</v>
      </c>
      <c r="E599" t="b">
        <v>0</v>
      </c>
      <c r="G599" t="b">
        <v>0</v>
      </c>
      <c r="H599" t="b">
        <v>0</v>
      </c>
    </row>
    <row r="600">
      <c r="C600" t="str">
        <f>IFERROR(__xludf.DUMMYFUNCTION("AI(""The city that the University in the row beside resides in"")"),"I do not have enough information to answer the query. The university name for this row is missing from the provided context, which is required to determine the city.")</f>
        <v>I do not have enough information to answer the query. The university name for this row is missing from the provided context, which is required to determine the city.</v>
      </c>
      <c r="D600" t="b">
        <v>0</v>
      </c>
      <c r="E600" t="b">
        <v>0</v>
      </c>
      <c r="G600" t="b">
        <v>0</v>
      </c>
      <c r="H600" t="b">
        <v>0</v>
      </c>
    </row>
    <row r="601">
      <c r="C601" t="str">
        <f>IFERROR(__xludf.DUMMYFUNCTION("AI(""The city that the University in the row beside resides in"")"),"I do not have enough information to determine the city because the university name for this row is missing from the provided data.")</f>
        <v>I do not have enough information to determine the city because the university name for this row is missing from the provided data.</v>
      </c>
      <c r="D601" t="b">
        <v>0</v>
      </c>
      <c r="E601" t="b">
        <v>0</v>
      </c>
      <c r="G601" t="b">
        <v>0</v>
      </c>
      <c r="H601" t="b">
        <v>0</v>
      </c>
    </row>
    <row r="602">
      <c r="C602" t="str">
        <f>IFERROR(__xludf.DUMMYFUNCTION("AI(""The city that the University in the row beside resides in"")"),"=AI(""The city that the University in the row beside resides in"")")</f>
        <v>=AI("The city that the University in the row beside resides in")</v>
      </c>
      <c r="D602" t="b">
        <v>0</v>
      </c>
      <c r="E602" t="b">
        <v>0</v>
      </c>
      <c r="G602" t="b">
        <v>0</v>
      </c>
      <c r="H602" t="b">
        <v>0</v>
      </c>
    </row>
    <row r="603">
      <c r="C603" t="str">
        <f>IFERROR(__xludf.DUMMYFUNCTION("AI(""The city that the University in the row beside resides in"")"),"=AI(""The city that the University in the row beside resides in"")")</f>
        <v>=AI("The city that the University in the row beside resides in")</v>
      </c>
      <c r="D603" t="b">
        <v>0</v>
      </c>
      <c r="E603" t="b">
        <v>0</v>
      </c>
      <c r="G603" t="b">
        <v>0</v>
      </c>
      <c r="H603" t="b">
        <v>0</v>
      </c>
    </row>
    <row r="604">
      <c r="C604" t="str">
        <f>IFERROR(__xludf.DUMMYFUNCTION("AI(""The city that the University in the row beside resides in"")"),"I do not have enough information to answer the query. I am missing the university name for this row to determine the city it resides in.")</f>
        <v>I do not have enough information to answer the query. I am missing the university name for this row to determine the city it resides in.</v>
      </c>
      <c r="D604" t="b">
        <v>0</v>
      </c>
      <c r="E604" t="b">
        <v>0</v>
      </c>
      <c r="G604" t="b">
        <v>0</v>
      </c>
      <c r="H604" t="b">
        <v>0</v>
      </c>
    </row>
    <row r="605">
      <c r="C605" t="str">
        <f>IFERROR(__xludf.DUMMYFUNCTION("AI(""The city that the University in the row beside resides in"")"),"I do not have enough information to answer the query. I am missing the university name for this row to determine its city.")</f>
        <v>I do not have enough information to answer the query. I am missing the university name for this row to determine its city.</v>
      </c>
      <c r="D605" t="b">
        <v>0</v>
      </c>
      <c r="E605" t="b">
        <v>0</v>
      </c>
      <c r="G605" t="b">
        <v>0</v>
      </c>
      <c r="H605" t="b">
        <v>0</v>
      </c>
    </row>
    <row r="606">
      <c r="C606" t="str">
        <f>IFERROR(__xludf.DUMMYFUNCTION("AI(""The city that the University in the row beside resides in"")"),"=AI(""The city that the University in the row beside resides in"")")</f>
        <v>=AI("The city that the University in the row beside resides in")</v>
      </c>
      <c r="D606" t="b">
        <v>0</v>
      </c>
      <c r="E606" t="b">
        <v>0</v>
      </c>
      <c r="G606" t="b">
        <v>0</v>
      </c>
      <c r="H606" t="b">
        <v>0</v>
      </c>
    </row>
    <row r="607">
      <c r="C607" t="str">
        <f>IFERROR(__xludf.DUMMYFUNCTION("AI(""The city that the University in the row beside resides in"")"),"I do not have enough information to answer the query. I am missing the name of the university in the row beside cell C607 to determine the city it resides in.")</f>
        <v>I do not have enough information to answer the query. I am missing the name of the university in the row beside cell C607 to determine the city it resides in.</v>
      </c>
      <c r="D607" t="b">
        <v>0</v>
      </c>
      <c r="E607" t="b">
        <v>0</v>
      </c>
      <c r="G607" t="b">
        <v>0</v>
      </c>
      <c r="H607" t="b">
        <v>0</v>
      </c>
    </row>
    <row r="608">
      <c r="C608" t="str">
        <f>IFERROR(__xludf.DUMMYFUNCTION("AI(""The city that the University in the row beside resides in"")"),"I do not have enough information to answer the query because the university name for row 608 is not provided in the spreadsheet context.")</f>
        <v>I do not have enough information to answer the query because the university name for row 608 is not provided in the spreadsheet context.</v>
      </c>
      <c r="D608" t="b">
        <v>0</v>
      </c>
      <c r="E608" t="b">
        <v>0</v>
      </c>
      <c r="G608" t="b">
        <v>0</v>
      </c>
      <c r="H608" t="b">
        <v>0</v>
      </c>
    </row>
    <row r="609">
      <c r="C609" t="str">
        <f>IFERROR(__xludf.DUMMYFUNCTION("AI(""The city that the University in the row beside resides in"")"),"=AI(""The city that the University in the row beside resides in"")")</f>
        <v>=AI("The city that the University in the row beside resides in")</v>
      </c>
      <c r="D609" t="b">
        <v>0</v>
      </c>
      <c r="E609" t="b">
        <v>0</v>
      </c>
      <c r="G609" t="b">
        <v>0</v>
      </c>
      <c r="H609" t="b">
        <v>0</v>
      </c>
    </row>
    <row r="610">
      <c r="C610" t="str">
        <f>IFERROR(__xludf.DUMMYFUNCTION("AI(""The city that the University in the row beside resides in"")"),"=AI(""The city that the University in the row beside resides in"")")</f>
        <v>=AI("The city that the University in the row beside resides in")</v>
      </c>
      <c r="D610" t="b">
        <v>0</v>
      </c>
      <c r="E610" t="b">
        <v>0</v>
      </c>
      <c r="G610" t="b">
        <v>0</v>
      </c>
      <c r="H610" t="b">
        <v>0</v>
      </c>
    </row>
    <row r="611">
      <c r="C611" t="str">
        <f>IFERROR(__xludf.DUMMYFUNCTION("AI(""The city that the University in the row beside resides in"")"),"I do not have enough information to answer the query. I am missing the name of the university in row 611 to determine the city it resides in.")</f>
        <v>I do not have enough information to answer the query. I am missing the name of the university in row 611 to determine the city it resides in.</v>
      </c>
      <c r="D611" t="b">
        <v>0</v>
      </c>
      <c r="E611" t="b">
        <v>0</v>
      </c>
      <c r="G611" t="b">
        <v>0</v>
      </c>
      <c r="H611" t="b">
        <v>0</v>
      </c>
    </row>
    <row r="612">
      <c r="C612" t="str">
        <f>IFERROR(__xludf.DUMMYFUNCTION("AI(""The city that the University in the row beside resides in"")"),"=AI(""The city that the University in the row beside resides in"")")</f>
        <v>=AI("The city that the University in the row beside resides in")</v>
      </c>
      <c r="D612" t="b">
        <v>0</v>
      </c>
      <c r="E612" t="b">
        <v>0</v>
      </c>
      <c r="G612" t="b">
        <v>0</v>
      </c>
      <c r="H612" t="b">
        <v>0</v>
      </c>
    </row>
    <row r="613">
      <c r="C613" t="str">
        <f>IFERROR(__xludf.DUMMYFUNCTION("AI(""The city that the University in the row beside resides in"")"),"I do not have enough information to answer the query. I am missing the university name for this row to determine the city.")</f>
        <v>I do not have enough information to answer the query. I am missing the university name for this row to determine the city.</v>
      </c>
      <c r="D613" t="b">
        <v>0</v>
      </c>
      <c r="E613" t="b">
        <v>0</v>
      </c>
      <c r="G613" t="b">
        <v>0</v>
      </c>
      <c r="H613" t="b">
        <v>0</v>
      </c>
    </row>
    <row r="614">
      <c r="C614" t="str">
        <f>IFERROR(__xludf.DUMMYFUNCTION("AI(""The city that the University in the row beside resides in"")"),"I do not have enough information to answer the query. I am missing the university name for this row to determine its city.")</f>
        <v>I do not have enough information to answer the query. I am missing the university name for this row to determine its city.</v>
      </c>
      <c r="D614" t="b">
        <v>0</v>
      </c>
      <c r="E614" t="b">
        <v>0</v>
      </c>
      <c r="G614" t="b">
        <v>0</v>
      </c>
      <c r="H614" t="b">
        <v>0</v>
      </c>
    </row>
    <row r="615">
      <c r="C615" t="str">
        <f>IFERROR(__xludf.DUMMYFUNCTION("AI(""The city that the University in the row beside resides in"")"),"=AI(""The city that the University in the row beside resides in"")")</f>
        <v>=AI("The city that the University in the row beside resides in")</v>
      </c>
      <c r="D615" t="b">
        <v>0</v>
      </c>
      <c r="E615" t="b">
        <v>0</v>
      </c>
      <c r="G615" t="b">
        <v>0</v>
      </c>
      <c r="H615" t="b">
        <v>0</v>
      </c>
    </row>
    <row r="616">
      <c r="C616" t="str">
        <f>IFERROR(__xludf.DUMMYFUNCTION("AI(""The city that the University in the row beside resides in"")"),"I do not have enough information to determine the city because the university name for this row is missing from the provided context.")</f>
        <v>I do not have enough information to determine the city because the university name for this row is missing from the provided context.</v>
      </c>
      <c r="D616" t="b">
        <v>0</v>
      </c>
      <c r="E616" t="b">
        <v>0</v>
      </c>
      <c r="G616" t="b">
        <v>0</v>
      </c>
      <c r="H616" t="b">
        <v>0</v>
      </c>
    </row>
    <row r="617">
      <c r="C617" t="str">
        <f>IFERROR(__xludf.DUMMYFUNCTION("AI(""The city that the University in the row beside resides in"")"),"I do not have enough information to answer the query because the university name for this row is missing from the provided data.")</f>
        <v>I do not have enough information to answer the query because the university name for this row is missing from the provided data.</v>
      </c>
      <c r="D617" t="b">
        <v>0</v>
      </c>
      <c r="E617" t="b">
        <v>0</v>
      </c>
      <c r="G617" t="b">
        <v>0</v>
      </c>
      <c r="H617" t="b">
        <v>0</v>
      </c>
    </row>
    <row r="618">
      <c r="C618" t="str">
        <f>IFERROR(__xludf.DUMMYFUNCTION("AI(""The city that the University in the row beside resides in"")"),"I do not have enough information to answer the query. The university name for row 618 is missing from the provided document context, so I cannot determine its city.")</f>
        <v>I do not have enough information to answer the query. The university name for row 618 is missing from the provided document context, so I cannot determine its city.</v>
      </c>
      <c r="D618" t="b">
        <v>0</v>
      </c>
      <c r="E618" t="b">
        <v>0</v>
      </c>
      <c r="G618" t="b">
        <v>0</v>
      </c>
      <c r="H618" t="b">
        <v>0</v>
      </c>
    </row>
    <row r="619">
      <c r="C619" t="str">
        <f>IFERROR(__xludf.DUMMYFUNCTION("AI(""The city that the University in the row beside resides in"")"),"I do not have enough information to answer the query because the university name for this row is missing from the provided data.")</f>
        <v>I do not have enough information to answer the query because the university name for this row is missing from the provided data.</v>
      </c>
      <c r="D619" t="b">
        <v>0</v>
      </c>
      <c r="E619" t="b">
        <v>0</v>
      </c>
      <c r="G619" t="b">
        <v>0</v>
      </c>
      <c r="H619" t="b">
        <v>0</v>
      </c>
    </row>
    <row r="620">
      <c r="C620" t="str">
        <f>IFERROR(__xludf.DUMMYFUNCTION("AI(""The city that the University in the row beside resides in"")"),"I do not have enough information to answer the query. I am missing the name of the university in this row to determine its city.")</f>
        <v>I do not have enough information to answer the query. I am missing the name of the university in this row to determine its city.</v>
      </c>
      <c r="D620" t="b">
        <v>0</v>
      </c>
      <c r="E620" t="b">
        <v>0</v>
      </c>
      <c r="G620" t="b">
        <v>0</v>
      </c>
      <c r="H620" t="b">
        <v>0</v>
      </c>
    </row>
    <row r="621">
      <c r="C621" t="str">
        <f>IFERROR(__xludf.DUMMYFUNCTION("AI(""The city that the University in the row beside resides in"")"),"=AI(""The city that the University in the row beside resides in"")")</f>
        <v>=AI("The city that the University in the row beside resides in")</v>
      </c>
      <c r="D621" t="b">
        <v>0</v>
      </c>
      <c r="E621" t="b">
        <v>0</v>
      </c>
      <c r="G621" t="b">
        <v>0</v>
      </c>
      <c r="H621" t="b">
        <v>0</v>
      </c>
    </row>
    <row r="622">
      <c r="C622" t="str">
        <f>IFERROR(__xludf.DUMMYFUNCTION("AI(""The city that the University in the row beside resides in"")"),"=AI(""The city that the University in the row beside resides in"")")</f>
        <v>=AI("The city that the University in the row beside resides in")</v>
      </c>
      <c r="D622" t="b">
        <v>0</v>
      </c>
      <c r="E622" t="b">
        <v>0</v>
      </c>
      <c r="G622" t="b">
        <v>0</v>
      </c>
      <c r="H622" t="b">
        <v>0</v>
      </c>
    </row>
    <row r="623">
      <c r="C623" t="str">
        <f>IFERROR(__xludf.DUMMYFUNCTION("AI(""The city that the University in the row beside resides in"")"),"I do not have enough information to answer this query because the university name for row 623 is missing from the provided data.")</f>
        <v>I do not have enough information to answer this query because the university name for row 623 is missing from the provided data.</v>
      </c>
      <c r="D623" t="b">
        <v>0</v>
      </c>
      <c r="E623" t="b">
        <v>0</v>
      </c>
      <c r="G623" t="b">
        <v>0</v>
      </c>
      <c r="H623" t="b">
        <v>0</v>
      </c>
    </row>
    <row r="624">
      <c r="C624" t="str">
        <f>IFERROR(__xludf.DUMMYFUNCTION("AI(""The city that the University in the row beside resides in"")"),"=AI(""The city that the University in the row beside resides in"")")</f>
        <v>=AI("The city that the University in the row beside resides in")</v>
      </c>
      <c r="D624" t="b">
        <v>0</v>
      </c>
      <c r="E624" t="b">
        <v>0</v>
      </c>
      <c r="G624" t="b">
        <v>0</v>
      </c>
      <c r="H624" t="b">
        <v>0</v>
      </c>
    </row>
    <row r="625">
      <c r="C625" t="str">
        <f>IFERROR(__xludf.DUMMYFUNCTION("AI(""The city that the University in the row beside resides in"")"),"I do not have enough information to answer the query. I am missing the name of the university in the row beside (column B) to determine its city.")</f>
        <v>I do not have enough information to answer the query. I am missing the name of the university in the row beside (column B) to determine its city.</v>
      </c>
      <c r="D625" t="b">
        <v>0</v>
      </c>
      <c r="E625" t="b">
        <v>0</v>
      </c>
      <c r="G625" t="b">
        <v>0</v>
      </c>
      <c r="H625" t="b">
        <v>0</v>
      </c>
    </row>
    <row r="626">
      <c r="C626" t="str">
        <f>IFERROR(__xludf.DUMMYFUNCTION("AI(""The city that the University in the row beside resides in"")"),"=AI(""The city that the University in the row beside resides in"")")</f>
        <v>=AI("The city that the University in the row beside resides in")</v>
      </c>
      <c r="D626" t="b">
        <v>0</v>
      </c>
      <c r="E626" t="b">
        <v>0</v>
      </c>
      <c r="G626" t="b">
        <v>0</v>
      </c>
      <c r="H626" t="b">
        <v>0</v>
      </c>
    </row>
    <row r="627">
      <c r="C627" t="str">
        <f>IFERROR(__xludf.DUMMYFUNCTION("AI(""The city that the University in the row beside resides in"")"),"I do not have enough information to answer the query. I am missing the university name for this row to determine its city.")</f>
        <v>I do not have enough information to answer the query. I am missing the university name for this row to determine its city.</v>
      </c>
      <c r="D627" t="b">
        <v>0</v>
      </c>
      <c r="E627" t="b">
        <v>0</v>
      </c>
      <c r="G627" t="b">
        <v>0</v>
      </c>
      <c r="H627" t="b">
        <v>0</v>
      </c>
    </row>
    <row r="628">
      <c r="C628" t="str">
        <f>IFERROR(__xludf.DUMMYFUNCTION("AI(""The city that the University in the row beside resides in"")"),"=AI(""The city that the University in the row beside resides in"")")</f>
        <v>=AI("The city that the University in the row beside resides in")</v>
      </c>
      <c r="D628" t="b">
        <v>0</v>
      </c>
      <c r="E628" t="b">
        <v>0</v>
      </c>
      <c r="G628" t="b">
        <v>0</v>
      </c>
      <c r="H628" t="b">
        <v>0</v>
      </c>
    </row>
    <row r="629">
      <c r="C629" t="str">
        <f>IFERROR(__xludf.DUMMYFUNCTION("AI(""The city that the University in the row beside resides in"")"),"I do not have enough information to answer the query. I am missing the university name for this row to determine the city it resides in.")</f>
        <v>I do not have enough information to answer the query. I am missing the university name for this row to determine the city it resides in.</v>
      </c>
      <c r="D629" t="b">
        <v>0</v>
      </c>
      <c r="E629" t="b">
        <v>0</v>
      </c>
      <c r="G629" t="b">
        <v>0</v>
      </c>
      <c r="H629" t="b">
        <v>0</v>
      </c>
    </row>
    <row r="630">
      <c r="C630" t="str">
        <f>IFERROR(__xludf.DUMMYFUNCTION("AI(""The city that the University in the row beside resides in"")"),"=AI(""The city that the University in the row beside resides in"")")</f>
        <v>=AI("The city that the University in the row beside resides in")</v>
      </c>
      <c r="D630" t="b">
        <v>0</v>
      </c>
      <c r="E630" t="b">
        <v>0</v>
      </c>
      <c r="G630" t="b">
        <v>0</v>
      </c>
      <c r="H630" t="b">
        <v>0</v>
      </c>
    </row>
    <row r="631">
      <c r="C631" t="str">
        <f>IFERROR(__xludf.DUMMYFUNCTION("AI(""The city that the University in the row beside resides in"")"),"=AI(""The city that the University in the row beside resides in"")")</f>
        <v>=AI("The city that the University in the row beside resides in")</v>
      </c>
      <c r="D631" t="b">
        <v>0</v>
      </c>
      <c r="E631" t="b">
        <v>0</v>
      </c>
      <c r="G631" t="b">
        <v>0</v>
      </c>
      <c r="H631" t="b">
        <v>0</v>
      </c>
    </row>
    <row r="632">
      <c r="C632" t="str">
        <f>IFERROR(__xludf.DUMMYFUNCTION("AI(""The city that the University in the row beside resides in"")"),"I do not have enough information to answer the query. I am missing the name of the university in row 632 to determine its city.")</f>
        <v>I do not have enough information to answer the query. I am missing the name of the university in row 632 to determine its city.</v>
      </c>
      <c r="D632" t="b">
        <v>0</v>
      </c>
      <c r="E632" t="b">
        <v>0</v>
      </c>
      <c r="G632" t="b">
        <v>0</v>
      </c>
      <c r="H632" t="b">
        <v>0</v>
      </c>
    </row>
    <row r="633">
      <c r="C633" t="str">
        <f>IFERROR(__xludf.DUMMYFUNCTION("AI(""The city that the University in the row beside resides in"")"),"I do not have enough information to answer the query. The university name for this row is missing from the provided data, so I cannot determine its city.")</f>
        <v>I do not have enough information to answer the query. The university name for this row is missing from the provided data, so I cannot determine its city.</v>
      </c>
      <c r="D633" t="b">
        <v>0</v>
      </c>
      <c r="E633" t="b">
        <v>0</v>
      </c>
      <c r="G633" t="b">
        <v>0</v>
      </c>
      <c r="H633" t="b">
        <v>0</v>
      </c>
    </row>
    <row r="634">
      <c r="C634" t="str">
        <f>IFERROR(__xludf.DUMMYFUNCTION("AI(""The city that the University in the row beside resides in"")"),"=AI(""The city that the University in the row beside resides in"")")</f>
        <v>=AI("The city that the University in the row beside resides in")</v>
      </c>
      <c r="D634" t="b">
        <v>0</v>
      </c>
      <c r="E634" t="b">
        <v>0</v>
      </c>
      <c r="G634" t="b">
        <v>0</v>
      </c>
      <c r="H634" t="b">
        <v>0</v>
      </c>
    </row>
    <row r="635">
      <c r="C635" t="str">
        <f>IFERROR(__xludf.DUMMYFUNCTION("AI(""The city that the University in the row beside resides in"")"),"I do not have enough information to answer the query. I am missing the name of the university in this row to determine the city it resides in.")</f>
        <v>I do not have enough information to answer the query. I am missing the name of the university in this row to determine the city it resides in.</v>
      </c>
      <c r="D635" t="b">
        <v>0</v>
      </c>
      <c r="E635" t="b">
        <v>0</v>
      </c>
      <c r="G635" t="b">
        <v>0</v>
      </c>
      <c r="H635" t="b">
        <v>0</v>
      </c>
    </row>
    <row r="636">
      <c r="C636" t="str">
        <f>IFERROR(__xludf.DUMMYFUNCTION("AI(""The city that the University in the row beside resides in"")"),"=AI(""The city that the University in the row beside resides in"")")</f>
        <v>=AI("The city that the University in the row beside resides in")</v>
      </c>
      <c r="D636" t="b">
        <v>0</v>
      </c>
      <c r="E636" t="b">
        <v>0</v>
      </c>
      <c r="G636" t="b">
        <v>0</v>
      </c>
      <c r="H636" t="b">
        <v>0</v>
      </c>
    </row>
    <row r="637">
      <c r="C637" t="str">
        <f>IFERROR(__xludf.DUMMYFUNCTION("AI(""The city that the University in the row beside resides in"")"),"=AI(""The city that the University in the row beside resides in"")")</f>
        <v>=AI("The city that the University in the row beside resides in")</v>
      </c>
      <c r="D637" t="b">
        <v>0</v>
      </c>
      <c r="E637" t="b">
        <v>0</v>
      </c>
      <c r="G637" t="b">
        <v>0</v>
      </c>
      <c r="H637" t="b">
        <v>0</v>
      </c>
    </row>
    <row r="638">
      <c r="C638" t="str">
        <f>IFERROR(__xludf.DUMMYFUNCTION("AI(""The city that the University in the row beside resides in"")"),"I do not have enough information to answer the query. I am missing the university name for this row to determine the city it resides in.")</f>
        <v>I do not have enough information to answer the query. I am missing the university name for this row to determine the city it resides in.</v>
      </c>
      <c r="D638" t="b">
        <v>0</v>
      </c>
      <c r="E638" t="b">
        <v>0</v>
      </c>
      <c r="G638" t="b">
        <v>0</v>
      </c>
      <c r="H638" t="b">
        <v>0</v>
      </c>
    </row>
    <row r="639">
      <c r="C639" t="str">
        <f>IFERROR(__xludf.DUMMYFUNCTION("AI(""The city that the University in the row beside resides in"")"),"I do not have enough information to answer the query. I am missing the university name for this row to determine its city.")</f>
        <v>I do not have enough information to answer the query. I am missing the university name for this row to determine its city.</v>
      </c>
      <c r="D639" t="b">
        <v>0</v>
      </c>
      <c r="E639" t="b">
        <v>0</v>
      </c>
      <c r="G639" t="b">
        <v>0</v>
      </c>
      <c r="H639" t="b">
        <v>0</v>
      </c>
    </row>
    <row r="640">
      <c r="C640" t="str">
        <f>IFERROR(__xludf.DUMMYFUNCTION("AI(""The city that the University in the row beside resides in"")"),"I do not have enough information to determine the city because the university name in the row beside is missing from the provided context.")</f>
        <v>I do not have enough information to determine the city because the university name in the row beside is missing from the provided context.</v>
      </c>
      <c r="D640" t="b">
        <v>0</v>
      </c>
      <c r="E640" t="b">
        <v>0</v>
      </c>
      <c r="G640" t="b">
        <v>0</v>
      </c>
      <c r="H640" t="b">
        <v>0</v>
      </c>
    </row>
    <row r="641">
      <c r="C641" t="str">
        <f>IFERROR(__xludf.DUMMYFUNCTION("AI(""The city that the University in the row beside resides in"")"),"I do not have enough information to answer the query. I am missing the university name for this row to determine its city.")</f>
        <v>I do not have enough information to answer the query. I am missing the university name for this row to determine its city.</v>
      </c>
      <c r="D641" t="b">
        <v>0</v>
      </c>
      <c r="E641" t="b">
        <v>0</v>
      </c>
      <c r="G641" t="b">
        <v>0</v>
      </c>
      <c r="H641" t="b">
        <v>0</v>
      </c>
    </row>
    <row r="642">
      <c r="C642" t="str">
        <f>IFERROR(__xludf.DUMMYFUNCTION("AI(""The city that the University in the row beside resides in"")"),"I do not have enough information to answer the query. I am missing the university name for this row to determine the city it resides in.")</f>
        <v>I do not have enough information to answer the query. I am missing the university name for this row to determine the city it resides in.</v>
      </c>
      <c r="D642" t="b">
        <v>0</v>
      </c>
      <c r="E642" t="b">
        <v>0</v>
      </c>
      <c r="G642" t="b">
        <v>0</v>
      </c>
      <c r="H642" t="b">
        <v>0</v>
      </c>
    </row>
    <row r="643">
      <c r="C643" t="str">
        <f>IFERROR(__xludf.DUMMYFUNCTION("AI(""The city that the University in the row beside resides in"")"),"I do not have enough information to answer the query. I am missing the university name for this row to determine the city.")</f>
        <v>I do not have enough information to answer the query. I am missing the university name for this row to determine the city.</v>
      </c>
      <c r="D643" t="b">
        <v>0</v>
      </c>
      <c r="E643" t="b">
        <v>0</v>
      </c>
      <c r="G643" t="b">
        <v>0</v>
      </c>
      <c r="H643" t="b">
        <v>0</v>
      </c>
    </row>
    <row r="644">
      <c r="C644" t="str">
        <f>IFERROR(__xludf.DUMMYFUNCTION("AI(""The city that the University in the row beside resides in"")"),"I do not have enough information to answer the query. I am missing the university name for this row to determine the city it resides in.")</f>
        <v>I do not have enough information to answer the query. I am missing the university name for this row to determine the city it resides in.</v>
      </c>
      <c r="D644" t="b">
        <v>0</v>
      </c>
      <c r="E644" t="b">
        <v>0</v>
      </c>
      <c r="G644" t="b">
        <v>0</v>
      </c>
      <c r="H644" t="b">
        <v>0</v>
      </c>
    </row>
    <row r="645">
      <c r="C645" t="str">
        <f>IFERROR(__xludf.DUMMYFUNCTION("AI(""The city that the University in the row beside resides in"")"),"I do not have enough information to determine the city because the university name in the neighboring column is missing from the provided context. Please include the university name to get the correct city.")</f>
        <v>I do not have enough information to determine the city because the university name in the neighboring column is missing from the provided context. Please include the university name to get the correct city.</v>
      </c>
      <c r="D645" t="b">
        <v>0</v>
      </c>
      <c r="E645" t="b">
        <v>0</v>
      </c>
      <c r="G645" t="b">
        <v>0</v>
      </c>
      <c r="H645" t="b">
        <v>0</v>
      </c>
    </row>
    <row r="646">
      <c r="C646" t="str">
        <f>IFERROR(__xludf.DUMMYFUNCTION("AI(""The city that the University in the row beside resides in"")"),"I do not have enough information to answer the query. I am missing the university name from column B for this row to determine the city it resides in.")</f>
        <v>I do not have enough information to answer the query. I am missing the university name from column B for this row to determine the city it resides in.</v>
      </c>
      <c r="D646" t="b">
        <v>0</v>
      </c>
      <c r="E646" t="b">
        <v>0</v>
      </c>
      <c r="G646" t="b">
        <v>0</v>
      </c>
      <c r="H646" t="b">
        <v>0</v>
      </c>
    </row>
    <row r="647">
      <c r="C647" t="str">
        <f>IFERROR(__xludf.DUMMYFUNCTION("AI(""The city that the University in the row beside resides in"")"),"=AI(""The city that the University in the row beside resides in"")")</f>
        <v>=AI("The city that the University in the row beside resides in")</v>
      </c>
      <c r="D647" t="b">
        <v>0</v>
      </c>
      <c r="E647" t="b">
        <v>0</v>
      </c>
      <c r="G647" t="b">
        <v>0</v>
      </c>
      <c r="H647" t="b">
        <v>0</v>
      </c>
    </row>
    <row r="648">
      <c r="C648" t="str">
        <f>IFERROR(__xludf.DUMMYFUNCTION("AI(""The city that the University in the row beside resides in"")"),"I do not have enough information to answer the query. I am missing the university name for this row to determine the city it resides in.")</f>
        <v>I do not have enough information to answer the query. I am missing the university name for this row to determine the city it resides in.</v>
      </c>
      <c r="D648" t="b">
        <v>0</v>
      </c>
      <c r="E648" t="b">
        <v>0</v>
      </c>
      <c r="G648" t="b">
        <v>0</v>
      </c>
      <c r="H648" t="b">
        <v>0</v>
      </c>
    </row>
    <row r="649">
      <c r="C649" t="str">
        <f>IFERROR(__xludf.DUMMYFUNCTION("AI(""The city that the University in the row beside resides in"")"),"=AI(""The city that the University in the row beside resides in"")")</f>
        <v>=AI("The city that the University in the row beside resides in")</v>
      </c>
      <c r="D649" t="b">
        <v>0</v>
      </c>
      <c r="E649" t="b">
        <v>0</v>
      </c>
      <c r="G649" t="b">
        <v>0</v>
      </c>
      <c r="H649" t="b">
        <v>0</v>
      </c>
    </row>
    <row r="650">
      <c r="C650" t="str">
        <f>IFERROR(__xludf.DUMMYFUNCTION("AI(""The city that the University in the row beside resides in"")"),"I do not have enough information to answer the query. I am missing the university name for this row to determine the city it resides in.")</f>
        <v>I do not have enough information to answer the query. I am missing the university name for this row to determine the city it resides in.</v>
      </c>
      <c r="D650" t="b">
        <v>0</v>
      </c>
      <c r="E650" t="b">
        <v>0</v>
      </c>
      <c r="G650" t="b">
        <v>0</v>
      </c>
      <c r="H650" t="b">
        <v>0</v>
      </c>
    </row>
    <row r="651">
      <c r="C651" t="str">
        <f>IFERROR(__xludf.DUMMYFUNCTION("AI(""The city that the University in the row beside resides in"")"),"I do not have enough information to answer the query. I am missing the university name in column B for row 651 to determine the city it resides in.")</f>
        <v>I do not have enough information to answer the query. I am missing the university name in column B for row 651 to determine the city it resides in.</v>
      </c>
      <c r="D651" t="b">
        <v>0</v>
      </c>
      <c r="E651" t="b">
        <v>0</v>
      </c>
      <c r="G651" t="b">
        <v>0</v>
      </c>
      <c r="H651" t="b">
        <v>0</v>
      </c>
    </row>
    <row r="652">
      <c r="C652" t="str">
        <f>IFERROR(__xludf.DUMMYFUNCTION("AI(""The city that the University in the row beside resides in"")"),"I do not have enough information to answer the query. I am missing the university name for this row (Column B, NLUniversityName) to determine which city it resides in.")</f>
        <v>I do not have enough information to answer the query. I am missing the university name for this row (Column B, NLUniversityName) to determine which city it resides in.</v>
      </c>
      <c r="D652" t="b">
        <v>0</v>
      </c>
      <c r="E652" t="b">
        <v>0</v>
      </c>
      <c r="G652" t="b">
        <v>0</v>
      </c>
      <c r="H652" t="b">
        <v>0</v>
      </c>
    </row>
    <row r="653">
      <c r="C653" t="str">
        <f>IFERROR(__xludf.DUMMYFUNCTION("AI(""The city that the University in the row beside resides in"")"),"I do not have enough information to answer the query. I am missing the university name for this row to determine the city it resides in.")</f>
        <v>I do not have enough information to answer the query. I am missing the university name for this row to determine the city it resides in.</v>
      </c>
      <c r="D653" t="b">
        <v>0</v>
      </c>
      <c r="E653" t="b">
        <v>0</v>
      </c>
      <c r="G653" t="b">
        <v>0</v>
      </c>
      <c r="H653" t="b">
        <v>0</v>
      </c>
    </row>
    <row r="654">
      <c r="C654" t="str">
        <f>IFERROR(__xludf.DUMMYFUNCTION("AI(""The city that the University in the row beside resides in"")"),"=AI(""The city that the University in the row beside resides in"")")</f>
        <v>=AI("The city that the University in the row beside resides in")</v>
      </c>
      <c r="D654" t="b">
        <v>0</v>
      </c>
      <c r="E654" t="b">
        <v>0</v>
      </c>
      <c r="G654" t="b">
        <v>0</v>
      </c>
      <c r="H654" t="b">
        <v>0</v>
      </c>
    </row>
    <row r="655">
      <c r="C655" t="str">
        <f>IFERROR(__xludf.DUMMYFUNCTION("AI(""The city that the University in the row beside resides in"")"),"I do not have enough information to answer the query. The name of the university for this row is missing from the provided context.")</f>
        <v>I do not have enough information to answer the query. The name of the university for this row is missing from the provided context.</v>
      </c>
      <c r="D655" t="b">
        <v>0</v>
      </c>
      <c r="E655" t="b">
        <v>0</v>
      </c>
      <c r="G655" t="b">
        <v>0</v>
      </c>
      <c r="H655" t="b">
        <v>0</v>
      </c>
    </row>
    <row r="656">
      <c r="C656" t="str">
        <f>IFERROR(__xludf.DUMMYFUNCTION("AI(""The city that the University in the row beside resides in"")"),"=AI(""The city that the University in the row beside resides in"")")</f>
        <v>=AI("The city that the University in the row beside resides in")</v>
      </c>
      <c r="D656" t="b">
        <v>0</v>
      </c>
      <c r="E656" t="b">
        <v>0</v>
      </c>
      <c r="G656" t="b">
        <v>0</v>
      </c>
      <c r="H656" t="b">
        <v>0</v>
      </c>
    </row>
    <row r="657">
      <c r="C657" t="str">
        <f>IFERROR(__xludf.DUMMYFUNCTION("AI(""The city that the University in the row beside resides in"")"),"=AI(""The city that the University in the row beside resides in"")")</f>
        <v>=AI("The city that the University in the row beside resides in")</v>
      </c>
      <c r="D657" t="b">
        <v>0</v>
      </c>
      <c r="E657" t="b">
        <v>0</v>
      </c>
      <c r="G657" t="b">
        <v>0</v>
      </c>
      <c r="H657" t="b">
        <v>0</v>
      </c>
    </row>
    <row r="658">
      <c r="C658" t="str">
        <f>IFERROR(__xludf.DUMMYFUNCTION("AI(""The city that the University in the row beside resides in"")"),"I do not have enough information to answer the query. I am missing the university name in row 658 to determine which city it resides in.")</f>
        <v>I do not have enough information to answer the query. I am missing the university name in row 658 to determine which city it resides in.</v>
      </c>
      <c r="D658" t="b">
        <v>0</v>
      </c>
      <c r="E658" t="b">
        <v>0</v>
      </c>
      <c r="G658" t="b">
        <v>0</v>
      </c>
      <c r="H658" t="b">
        <v>0</v>
      </c>
    </row>
    <row r="659">
      <c r="C659" t="str">
        <f>IFERROR(__xludf.DUMMYFUNCTION("AI(""The city that the University in the row beside resides in"")"),"I do not have enough information to answer the query. I am missing the university name for this row to determine its city.")</f>
        <v>I do not have enough information to answer the query. I am missing the university name for this row to determine its city.</v>
      </c>
      <c r="D659" t="b">
        <v>0</v>
      </c>
      <c r="E659" t="b">
        <v>0</v>
      </c>
      <c r="G659" t="b">
        <v>0</v>
      </c>
      <c r="H659" t="b">
        <v>0</v>
      </c>
    </row>
    <row r="660">
      <c r="C660" t="str">
        <f>IFERROR(__xludf.DUMMYFUNCTION("AI(""The city that the University in the row beside resides in"")"),"I do not have enough information to answer the query. I am missing the university name for this row (Column B) to determine the city.")</f>
        <v>I do not have enough information to answer the query. I am missing the university name for this row (Column B) to determine the city.</v>
      </c>
      <c r="D660" t="b">
        <v>0</v>
      </c>
      <c r="E660" t="b">
        <v>0</v>
      </c>
      <c r="G660" t="b">
        <v>0</v>
      </c>
      <c r="H660" t="b">
        <v>0</v>
      </c>
    </row>
    <row r="661">
      <c r="C661" t="str">
        <f>IFERROR(__xludf.DUMMYFUNCTION("AI(""The city that the University in the row beside resides in"")"),"=AI(""The city that the University in the row beside resides in"")")</f>
        <v>=AI("The city that the University in the row beside resides in")</v>
      </c>
      <c r="D661" t="b">
        <v>0</v>
      </c>
      <c r="E661" t="b">
        <v>0</v>
      </c>
      <c r="G661" t="b">
        <v>0</v>
      </c>
      <c r="H661" t="b">
        <v>0</v>
      </c>
    </row>
    <row r="662">
      <c r="C662" t="str">
        <f>IFERROR(__xludf.DUMMYFUNCTION("AI(""The city that the University in the row beside resides in"")"),"=AI(""The city that the University in the row beside resides in"")")</f>
        <v>=AI("The city that the University in the row beside resides in")</v>
      </c>
      <c r="D662" t="b">
        <v>0</v>
      </c>
      <c r="E662" t="b">
        <v>0</v>
      </c>
      <c r="G662" t="b">
        <v>0</v>
      </c>
      <c r="H662" t="b">
        <v>0</v>
      </c>
    </row>
    <row r="663">
      <c r="C663" t="str">
        <f>IFERROR(__xludf.DUMMYFUNCTION("AI(""The city that the University in the row beside resides in"")"),"=AI(""The city that the University in the row beside resides in"")")</f>
        <v>=AI("The city that the University in the row beside resides in")</v>
      </c>
      <c r="D663" t="b">
        <v>0</v>
      </c>
      <c r="E663" t="b">
        <v>0</v>
      </c>
      <c r="G663" t="b">
        <v>0</v>
      </c>
      <c r="H663" t="b">
        <v>0</v>
      </c>
    </row>
    <row r="664">
      <c r="C664" t="str">
        <f>IFERROR(__xludf.DUMMYFUNCTION("AI(""The city that the University in the row beside resides in"")"),"=AI(""The city that the University in the row beside resides in"")")</f>
        <v>=AI("The city that the University in the row beside resides in")</v>
      </c>
      <c r="D664" t="b">
        <v>0</v>
      </c>
      <c r="E664" t="b">
        <v>0</v>
      </c>
      <c r="G664" t="b">
        <v>0</v>
      </c>
      <c r="H664" t="b">
        <v>0</v>
      </c>
    </row>
    <row r="665">
      <c r="C665" t="str">
        <f>IFERROR(__xludf.DUMMYFUNCTION("AI(""The city that the University in the row beside resides in"")"),"I do not have enough information to answer the query. I am missing the name of the university in row 665 to determine the city it resides in.")</f>
        <v>I do not have enough information to answer the query. I am missing the name of the university in row 665 to determine the city it resides in.</v>
      </c>
      <c r="D665" t="b">
        <v>0</v>
      </c>
      <c r="E665" t="b">
        <v>0</v>
      </c>
      <c r="G665" t="b">
        <v>0</v>
      </c>
      <c r="H665" t="b">
        <v>0</v>
      </c>
    </row>
    <row r="666">
      <c r="C666" t="str">
        <f>IFERROR(__xludf.DUMMYFUNCTION("AI(""The city that the University in the row beside resides in"")"),"I do not have enough information to provide the city because the university name for row 666 is not visible in the provided spreadsheet context. Please provide the university name in column B.")</f>
        <v>I do not have enough information to provide the city because the university name for row 666 is not visible in the provided spreadsheet context. Please provide the university name in column B.</v>
      </c>
      <c r="D666" t="b">
        <v>0</v>
      </c>
      <c r="E666" t="b">
        <v>0</v>
      </c>
      <c r="G666" t="b">
        <v>0</v>
      </c>
      <c r="H666" t="b">
        <v>0</v>
      </c>
    </row>
    <row r="667">
      <c r="C667" t="str">
        <f>IFERROR(__xludf.DUMMYFUNCTION("AI(""The city that the University in the row beside resides in"")"),"I do not have enough information to answer the query. I am missing the name of the university in row 667 (column B) to determine which city it resides in.")</f>
        <v>I do not have enough information to answer the query. I am missing the name of the university in row 667 (column B) to determine which city it resides in.</v>
      </c>
      <c r="D667" t="b">
        <v>0</v>
      </c>
      <c r="E667" t="b">
        <v>0</v>
      </c>
      <c r="G667" t="b">
        <v>0</v>
      </c>
      <c r="H667" t="b">
        <v>0</v>
      </c>
    </row>
    <row r="668">
      <c r="C668" t="str">
        <f>IFERROR(__xludf.DUMMYFUNCTION("AI(""The city that the University in the row beside resides in"")"),"=AI(""The city that the University in the row beside resides in"")")</f>
        <v>=AI("The city that the University in the row beside resides in")</v>
      </c>
      <c r="D668" t="b">
        <v>0</v>
      </c>
      <c r="E668" t="b">
        <v>0</v>
      </c>
      <c r="G668" t="b">
        <v>0</v>
      </c>
      <c r="H668" t="b">
        <v>0</v>
      </c>
    </row>
    <row r="669">
      <c r="C669" t="str">
        <f>IFERROR(__xludf.DUMMYFUNCTION("AI(""The city that the University in the row beside resides in"")"),"=AI(""The city that the University in the row beside resides in"")")</f>
        <v>=AI("The city that the University in the row beside resides in")</v>
      </c>
      <c r="D669" t="b">
        <v>0</v>
      </c>
      <c r="E669" t="b">
        <v>0</v>
      </c>
      <c r="G669" t="b">
        <v>0</v>
      </c>
      <c r="H669" t="b">
        <v>0</v>
      </c>
    </row>
    <row r="670">
      <c r="C670" t="str">
        <f>IFERROR(__xludf.DUMMYFUNCTION("AI(""The city that the University in the row beside resides in"")"),"I do not have enough information to determine the city because the university name in the row beside is missing from the provided context.")</f>
        <v>I do not have enough information to determine the city because the university name in the row beside is missing from the provided context.</v>
      </c>
      <c r="D670" t="b">
        <v>0</v>
      </c>
      <c r="E670" t="b">
        <v>0</v>
      </c>
      <c r="G670" t="b">
        <v>0</v>
      </c>
      <c r="H670" t="b">
        <v>0</v>
      </c>
    </row>
    <row r="671">
      <c r="C671" t="str">
        <f>IFERROR(__xludf.DUMMYFUNCTION("AI(""The city that the University in the row beside resides in"")"),"I do not have enough information to answer the query. I am missing the name of the university in row 671 to determine the city it resides in.")</f>
        <v>I do not have enough information to answer the query. I am missing the name of the university in row 671 to determine the city it resides in.</v>
      </c>
      <c r="D671" t="b">
        <v>0</v>
      </c>
      <c r="E671" t="b">
        <v>0</v>
      </c>
      <c r="G671" t="b">
        <v>0</v>
      </c>
      <c r="H671" t="b">
        <v>0</v>
      </c>
    </row>
    <row r="672">
      <c r="C672" t="str">
        <f>IFERROR(__xludf.DUMMYFUNCTION("AI(""The city that the University in the row beside resides in"")"),"I do not have enough information to answer the query. I am missing the name of the university in the row beside the cell to determine its city.")</f>
        <v>I do not have enough information to answer the query. I am missing the name of the university in the row beside the cell to determine its city.</v>
      </c>
      <c r="D672" t="b">
        <v>0</v>
      </c>
      <c r="E672" t="b">
        <v>0</v>
      </c>
      <c r="G672" t="b">
        <v>0</v>
      </c>
      <c r="H672" t="b">
        <v>0</v>
      </c>
    </row>
    <row r="673">
      <c r="C673" t="str">
        <f>IFERROR(__xludf.DUMMYFUNCTION("AI(""The city that the University in the row beside resides in"")"),"I do not have enough information to answer the query. I am missing the name of the university in row 673 to determine the city it resides in.")</f>
        <v>I do not have enough information to answer the query. I am missing the name of the university in row 673 to determine the city it resides in.</v>
      </c>
      <c r="D673" t="b">
        <v>0</v>
      </c>
      <c r="E673" t="b">
        <v>0</v>
      </c>
      <c r="G673" t="b">
        <v>0</v>
      </c>
      <c r="H673" t="b">
        <v>0</v>
      </c>
    </row>
    <row r="674">
      <c r="C674" t="str">
        <f>IFERROR(__xludf.DUMMYFUNCTION("AI(""The city that the University in the row beside resides in"")"),"=AI(""The city that the University in the row beside resides in"")")</f>
        <v>=AI("The city that the University in the row beside resides in")</v>
      </c>
      <c r="D674" t="b">
        <v>0</v>
      </c>
      <c r="E674" t="b">
        <v>0</v>
      </c>
      <c r="G674" t="b">
        <v>0</v>
      </c>
      <c r="H674" t="b">
        <v>0</v>
      </c>
    </row>
    <row r="675">
      <c r="C675" t="str">
        <f>IFERROR(__xludf.DUMMYFUNCTION("AI(""The city that the University in the row beside resides in"")"),"I do not have enough information to answer the query. I am missing the university name for this row to determine the city it resides in.")</f>
        <v>I do not have enough information to answer the query. I am missing the university name for this row to determine the city it resides in.</v>
      </c>
      <c r="D675" t="b">
        <v>0</v>
      </c>
      <c r="E675" t="b">
        <v>0</v>
      </c>
      <c r="G675" t="b">
        <v>0</v>
      </c>
      <c r="H675" t="b">
        <v>0</v>
      </c>
    </row>
    <row r="676">
      <c r="C676" t="str">
        <f>IFERROR(__xludf.DUMMYFUNCTION("AI(""The city that the University in the row beside resides in"")"),"I do not have enough information to answer the query. I am missing the university name from the row to determine its city.")</f>
        <v>I do not have enough information to answer the query. I am missing the university name from the row to determine its city.</v>
      </c>
      <c r="D676" t="b">
        <v>0</v>
      </c>
      <c r="E676" t="b">
        <v>0</v>
      </c>
      <c r="G676" t="b">
        <v>0</v>
      </c>
      <c r="H676" t="b">
        <v>0</v>
      </c>
    </row>
    <row r="677">
      <c r="C677" t="str">
        <f>IFERROR(__xludf.DUMMYFUNCTION("AI(""The city that the University in the row beside resides in"")"),"I do not have enough information to answer the query. I am missing the university name for this row to determine the city it resides in.")</f>
        <v>I do not have enough information to answer the query. I am missing the university name for this row to determine the city it resides in.</v>
      </c>
      <c r="D677" t="b">
        <v>0</v>
      </c>
      <c r="E677" t="b">
        <v>0</v>
      </c>
      <c r="G677" t="b">
        <v>0</v>
      </c>
      <c r="H677" t="b">
        <v>0</v>
      </c>
    </row>
    <row r="678">
      <c r="C678" t="str">
        <f>IFERROR(__xludf.DUMMYFUNCTION("AI(""The city that the University in the row beside resides in"")"),"I do not have enough information to answer the query. I am missing the university name for this row to determine the city.")</f>
        <v>I do not have enough information to answer the query. I am missing the university name for this row to determine the city.</v>
      </c>
      <c r="D678" t="b">
        <v>0</v>
      </c>
      <c r="E678" t="b">
        <v>0</v>
      </c>
      <c r="G678" t="b">
        <v>0</v>
      </c>
      <c r="H678" t="b">
        <v>0</v>
      </c>
    </row>
    <row r="679">
      <c r="C679" t="str">
        <f>IFERROR(__xludf.DUMMYFUNCTION("AI(""The city that the University in the row beside resides in"")"),"I do not have enough information to answer the query. I am missing the university name for this row to determine the city it resides in.")</f>
        <v>I do not have enough information to answer the query. I am missing the university name for this row to determine the city it resides in.</v>
      </c>
      <c r="D679" t="b">
        <v>0</v>
      </c>
      <c r="E679" t="b">
        <v>0</v>
      </c>
      <c r="G679" t="b">
        <v>0</v>
      </c>
      <c r="H679" t="b">
        <v>0</v>
      </c>
    </row>
    <row r="680">
      <c r="C680" t="str">
        <f>IFERROR(__xludf.DUMMYFUNCTION("AI(""The city that the University in the row beside resides in"")"),"I do not have enough information to answer the query. The university name in column B for this row is missing.")</f>
        <v>I do not have enough information to answer the query. The university name in column B for this row is missing.</v>
      </c>
      <c r="D680" t="b">
        <v>0</v>
      </c>
      <c r="E680" t="b">
        <v>0</v>
      </c>
      <c r="G680" t="b">
        <v>0</v>
      </c>
      <c r="H680" t="b">
        <v>0</v>
      </c>
    </row>
    <row r="681">
      <c r="C681" t="str">
        <f>IFERROR(__xludf.DUMMYFUNCTION("AI(""The city that the University in the row beside resides in"")"),"I do not have enough information to answer the query. I am missing the university name for this row (column B) to determine the city it resides in.")</f>
        <v>I do not have enough information to answer the query. I am missing the university name for this row (column B) to determine the city it resides in.</v>
      </c>
      <c r="D681" t="b">
        <v>0</v>
      </c>
      <c r="E681" t="b">
        <v>0</v>
      </c>
      <c r="G681" t="b">
        <v>0</v>
      </c>
      <c r="H681" t="b">
        <v>0</v>
      </c>
    </row>
    <row r="682">
      <c r="C682" t="str">
        <f>IFERROR(__xludf.DUMMYFUNCTION("AI(""The city that the University in the row beside resides in"")"),"=AI(""The city that the University in the row beside resides in"")")</f>
        <v>=AI("The city that the University in the row beside resides in")</v>
      </c>
      <c r="D682" t="b">
        <v>0</v>
      </c>
      <c r="E682" t="b">
        <v>0</v>
      </c>
      <c r="G682" t="b">
        <v>0</v>
      </c>
      <c r="H682" t="b">
        <v>0</v>
      </c>
    </row>
    <row r="683">
      <c r="C683" t="str">
        <f>IFERROR(__xludf.DUMMYFUNCTION("AI(""The city that the University in the row beside resides in"")"),"I do not have enough information to answer the query because the university name in column B for this row is missing from the provided context.")</f>
        <v>I do not have enough information to answer the query because the university name in column B for this row is missing from the provided context.</v>
      </c>
      <c r="D683" t="b">
        <v>0</v>
      </c>
      <c r="E683" t="b">
        <v>0</v>
      </c>
      <c r="G683" t="b">
        <v>0</v>
      </c>
      <c r="H683" t="b">
        <v>0</v>
      </c>
    </row>
    <row r="684">
      <c r="C684" t="str">
        <f>IFERROR(__xludf.DUMMYFUNCTION("AI(""The city that the University in the row beside resides in"")"),"I do not have enough information to answer the query because the university name in the row beside is missing from the provided context.")</f>
        <v>I do not have enough information to answer the query because the university name in the row beside is missing from the provided context.</v>
      </c>
      <c r="D684" t="b">
        <v>0</v>
      </c>
      <c r="E684" t="b">
        <v>0</v>
      </c>
      <c r="G684" t="b">
        <v>0</v>
      </c>
      <c r="H684" t="b">
        <v>0</v>
      </c>
    </row>
    <row r="685">
      <c r="C685" t="str">
        <f>IFERROR(__xludf.DUMMYFUNCTION("AI(""The city that the University in the row beside resides in"")"),"I do not have enough information to determine the city because the university name for this row is missing from the provided context. Please provide the university name to find its location.")</f>
        <v>I do not have enough information to determine the city because the university name for this row is missing from the provided context. Please provide the university name to find its location.</v>
      </c>
      <c r="D685" t="b">
        <v>0</v>
      </c>
      <c r="E685" t="b">
        <v>0</v>
      </c>
      <c r="G685" t="b">
        <v>0</v>
      </c>
      <c r="H685" t="b">
        <v>0</v>
      </c>
    </row>
    <row r="686">
      <c r="C686" t="str">
        <f>IFERROR(__xludf.DUMMYFUNCTION("AI(""The city that the University in the row beside resides in"")"),"I do not have enough information to answer the query. The university name for this row is missing from the spreadsheet context.")</f>
        <v>I do not have enough information to answer the query. The university name for this row is missing from the spreadsheet context.</v>
      </c>
      <c r="D686" t="b">
        <v>0</v>
      </c>
      <c r="E686" t="b">
        <v>0</v>
      </c>
      <c r="G686" t="b">
        <v>0</v>
      </c>
      <c r="H686" t="b">
        <v>0</v>
      </c>
    </row>
    <row r="687">
      <c r="C687" t="str">
        <f>IFERROR(__xludf.DUMMYFUNCTION("AI(""The city that the University in the row beside resides in"")"),"I do not have enough information to answer the query. I am missing the university name for this row to determine its city.")</f>
        <v>I do not have enough information to answer the query. I am missing the university name for this row to determine its city.</v>
      </c>
      <c r="D687" t="b">
        <v>0</v>
      </c>
      <c r="E687" t="b">
        <v>0</v>
      </c>
      <c r="G687" t="b">
        <v>0</v>
      </c>
      <c r="H687" t="b">
        <v>0</v>
      </c>
    </row>
  </sheetData>
  <hyperlinks>
    <hyperlink ref="F2" r:id="rId1"/>
    <hyperlink ref="F3" r:id="rId2"/>
    <hyperlink ref="F12" r:id="rId3"/>
  </hyperlinks>
  <ignoredErrors>
    <ignoredError numberStoredAsText="1" sqref="A1:J68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14</vt:i4>
      </vt:variant>
    </vt:vector>
  </HeadingPairs>
  <TitlesOfParts>
    <vt:vector size="14" baseType="lpstr">
      <vt:lpstr>POL</vt:lpstr>
      <vt:lpstr>AUS</vt:lpstr>
      <vt:lpstr>DEN</vt:lpstr>
      <vt:lpstr>SWE</vt:lpstr>
      <vt:lpstr>IRE</vt:lpstr>
      <vt:lpstr>NOR</vt:lpstr>
      <vt:lpstr>UK</vt:lpstr>
      <vt:lpstr>POR</vt:lpstr>
      <vt:lpstr>ES</vt:lpstr>
      <vt:lpstr>IT</vt:lpstr>
      <vt:lpstr>BE</vt:lpstr>
      <vt:lpstr>DE</vt:lpstr>
      <vt:lpstr>FR</vt:lpstr>
      <vt:lpstr>NL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